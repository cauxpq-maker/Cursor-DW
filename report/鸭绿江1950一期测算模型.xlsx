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使用说明" sheetId="1" r:id="rId1"/>
    <sheet name="01_假设" sheetId="2" r:id="rId2"/>
    <sheet name="02_收入测算" sheetId="3" r:id="rId3"/>
    <sheet name="03_成本与利润" sheetId="4" r:id="rId4"/>
    <sheet name="04_月度客流" sheetId="5" r:id="rId5"/>
    <sheet name="05_敏感性" sheetId="6" r:id="rId6"/>
  </sheets>
  <calcPr calcId="124519" fullCalcOnLoad="1"/>
</workbook>
</file>

<file path=xl/sharedStrings.xml><?xml version="1.0" encoding="utf-8"?>
<sst xmlns="http://schemas.openxmlformats.org/spreadsheetml/2006/main" count="116" uniqueCount="102">
  <si>
    <t>「鸭绿江·1950」红色文旅城一期 —— 客流与收入测算模型</t>
  </si>
  <si>
    <t>■ 使用方法</t>
  </si>
  <si>
    <t>1. 只需修改「01_假设」中黄色底色的单元格(客流、票价、转化率、人均消费、成本、投资等参数);</t>
  </si>
  <si>
    <t>2. 「02_收入测算」「03_成本与利润」「04_月度客流」「05_敏感性」全部由公式联动,自动重算;</t>
  </si>
  <si>
    <t>3. 三列并行呈现保守/基准/乐观三个客流情景,便于对比;</t>
  </si>
  <si>
    <t>■ 模型口径</t>
  </si>
  <si>
    <t>· 测算年份口径为「稳定运营年」(开业第3年);开业首年建议按基准情景×70%爬坡系数理解;</t>
  </si>
  <si>
    <t>· 本模型为概念阶段测算(精度±30%),用于投资决策的方向性判断,非施工图预算;</t>
  </si>
  <si>
    <t>· 收入按一期业态口径(日场演艺/小剧场/餐饮商业/文创/研学/其他),夜演大剧场与酒店属二期,未计入;</t>
  </si>
  <si>
    <t>· 餐饮商业收入指小镇获得的租金+流水抽成口径,非商户流水;</t>
  </si>
  <si>
    <t>■ 关键锚点(外部参照)</t>
  </si>
  <si>
    <t>· 遵义1935街区(免门票):单月客流120万人次(2025年7月);</t>
  </si>
  <si>
    <t>· 延安红街:开业首月200万人次;</t>
  </si>
  <si>
    <t>· 丹东2025年春节假期全市客流424万人次,断桥景区2026年元旦客流同比+102%。</t>
  </si>
  <si>
    <t>01 假设参数(黄色单元格可修改)</t>
  </si>
  <si>
    <t>A. 年客流情景(人次/年)</t>
  </si>
  <si>
    <t>保守</t>
  </si>
  <si>
    <t>基准</t>
  </si>
  <si>
    <t>乐观</t>
  </si>
  <si>
    <t>说明</t>
  </si>
  <si>
    <t>稳定年入园客流</t>
  </si>
  <si>
    <t>基准=城市旗舰锚定率约15%口径;对标遵义1935单月120万的1/14强度</t>
  </si>
  <si>
    <t>B. 转化率与价格</t>
  </si>
  <si>
    <t>数值</t>
  </si>
  <si>
    <t>日场《抢渡鸭绿江》观演转化率</t>
  </si>
  <si>
    <t>入园客流中购票观演比例</t>
  </si>
  <si>
    <t>日场票价(元/人)</t>
  </si>
  <si>
    <t>对标同类实景演艺80–128元区间下沿</t>
  </si>
  <si>
    <t>小剧场观演转化率</t>
  </si>
  <si>
    <t>多剧场轮演,通票含1场后加购</t>
  </si>
  <si>
    <t>小剧场平均票价(元/人)</t>
  </si>
  <si>
    <t>单场30–50元</t>
  </si>
  <si>
    <t>研学客群占比</t>
  </si>
  <si>
    <t>研学人次占总客流比例</t>
  </si>
  <si>
    <t>研学课程客单价(元/人)</t>
  </si>
  <si>
    <t>半日课程口径</t>
  </si>
  <si>
    <t>餐饮商业人均贡献(元/人)</t>
  </si>
  <si>
    <t>小镇租金+流水抽成口径(约合商户流水的20%)</t>
  </si>
  <si>
    <t>文创零售人均贡献(元/人)</t>
  </si>
  <si>
    <t>自营+联营毛贡献</t>
  </si>
  <si>
    <t>停车交通及其他人均(元/人)</t>
  </si>
  <si>
    <t>C. 成本参数</t>
  </si>
  <si>
    <t>年固定成本(万元)</t>
  </si>
  <si>
    <t>演职员+运营团队薪酬、物业能耗基础值、管理费用</t>
  </si>
  <si>
    <t>变动成本率(占收入)</t>
  </si>
  <si>
    <t>随客流变动的耗材、能耗增量、佣金渠道费等</t>
  </si>
  <si>
    <t>D. 投资参数</t>
  </si>
  <si>
    <t>一期总投资(万元)</t>
  </si>
  <si>
    <t>详见报告投资估算表;概念级估算±30%</t>
  </si>
  <si>
    <t>02 收入测算(万元/年,稳定年)</t>
  </si>
  <si>
    <t>收入科目</t>
  </si>
  <si>
    <t>公式口径</t>
  </si>
  <si>
    <t>日场《抢渡鸭绿江》演艺</t>
  </si>
  <si>
    <t>客流×观演转化率×票价</t>
  </si>
  <si>
    <t>小剧场群</t>
  </si>
  <si>
    <t>客流×转化率×均价</t>
  </si>
  <si>
    <t>餐饮商业(租金+抽成)</t>
  </si>
  <si>
    <t>客流×人均贡献</t>
  </si>
  <si>
    <t>文创零售</t>
  </si>
  <si>
    <t>研学课程</t>
  </si>
  <si>
    <t>客流×研学占比×客单价</t>
  </si>
  <si>
    <t>停车交通及其他</t>
  </si>
  <si>
    <t>客流×人均</t>
  </si>
  <si>
    <t>收入合计</t>
  </si>
  <si>
    <t>人均综合收入(元/人次)</t>
  </si>
  <si>
    <t>收入合计÷客流</t>
  </si>
  <si>
    <t>03 成本与利润(万元/年,稳定年)</t>
  </si>
  <si>
    <t>科目</t>
  </si>
  <si>
    <t>引自02表</t>
  </si>
  <si>
    <t>变动成本</t>
  </si>
  <si>
    <t>收入×变动成本率</t>
  </si>
  <si>
    <t>固定成本</t>
  </si>
  <si>
    <t>演职员/运营/物业/管理</t>
  </si>
  <si>
    <t>EBITDA</t>
  </si>
  <si>
    <t>收入-变动-固定</t>
  </si>
  <si>
    <t>EBITDA率</t>
  </si>
  <si>
    <t>一期投资回收期(年)</t>
  </si>
  <si>
    <t>总投资÷EBITDA(简单口径,未计二期与土地增值);EBITDA为负显示「—」</t>
  </si>
  <si>
    <t>盈亏平衡客流(万人次/年)</t>
  </si>
  <si>
    <t>固定成本÷人均边际贡献(按基准情景人均收入)</t>
  </si>
  <si>
    <t>04 月度客流分布(基准情景)</t>
  </si>
  <si>
    <t>月份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</si>
  <si>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</si>
  <si>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</si>
  <si>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</si>
  <si>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</si>
  <si>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</si>
  <si>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</si>
  <si>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</si>
  <si>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</si>
  <si>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</si>
  <si>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</si>
  <si>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</si>
  <si>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</si>
  <si>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合计</t>
  </si>
  <si>
    <t>占比(可改)</t>
  </si>
  <si>
    <t>客流(万人次)</t>
  </si>
  <si>
    <t>日均(万人次/日)</t>
  </si>
  <si>
    <t>说明:7–8月暑期与5/10月假期为高峰;冬季(11–2月)靠室内小剧场+温泉+「1950年的冬天」主题支撑,占比20%。</t>
  </si>
  <si>
    <t>05 敏感性分析:EBITDA(万元)</t>
  </si>
  <si>
    <t>客流(万人次)↓ / 人均综合收入(元)→</t>
  </si>
  <si>
    <t>读法:行=年客流,列=人均综合收入;绿色区间为正EBITDA。基准点(100万×77元)EBITDA约2,145万元。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</si>
</sst>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0.0%"/>
    <numFmt numFmtId="166" formatCode="#,##0.0"/>
    <numFmt numFmtId="167" formatCode="0.00"/>
  </numFmts>
  <fonts count="6">
    <font>
      <sz val="11"/>
      <color theme="1"/>
      <name val="Calibri"/>
      <family val="2"/>
      <scheme val="minor"/>
    </font>
    <font>
      <b/>
      <sz val="16"/>
      <color rgb="FFC4533C"/>
      <name val="微软雅黑"/>
      <family val="2"/>
    </font>
    <font>
      <sz val="9.5"/>
      <color rgb="FF8A8276"/>
      <name val="微软雅黑"/>
      <family val="2"/>
    </font>
    <font>
      <b/>
      <sz val="11"/>
      <color theme="1"/>
      <name val="微软雅黑"/>
      <family val="2"/>
    </font>
    <font>
      <b/>
      <sz val="11"/>
      <color rgb="FFFFFFFF"/>
      <name val="微软雅黑"/>
      <family val="2"/>
    </font>
    <font>
      <sz val="10.5"/>
      <color theme="1"/>
      <name val="微软雅黑"/>
      <family val="2"/>
    </font>
  </fonts>
  <fills count="6">
    <fill>
      <patternFill patternType="none"/>
    </fill>
    <fill>
      <patternFill patternType="gray125"/>
    </fill>
    <fill>
      <patternFill patternType="solid">
        <fgColor rgb="FFF3EBDB"/>
        <bgColor indexed="64"/>
      </patternFill>
    </fill>
    <fill>
      <patternFill patternType="solid">
        <fgColor rgb="FFC4533C"/>
        <bgColor indexed="64"/>
      </patternFill>
    </fill>
    <fill>
      <patternFill patternType="solid">
        <fgColor rgb="FFFFF3C4"/>
        <bgColor indexed="64"/>
      </patternFill>
    </fill>
    <fill>
      <patternFill patternType="solid">
        <fgColor rgb="FFE9F0E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3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4" fontId="5" fillId="4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165" fontId="5" fillId="4" borderId="1" xfId="0" applyNumberFormat="1" applyFont="1" applyFill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3" fillId="5" borderId="1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8"/>
  <sheetViews>
    <sheetView tabSelected="1" workbookViewId="0"/>
  </sheetViews>
  <sheetFormatPr defaultRowHeight="15"/>
  <cols>
    <col min="1" max="1" width="100.7109375" customWidth="1"/>
  </cols>
  <sheetData>
    <row r="1" spans="1:1">
      <c r="A1" s="1" t="s">
        <v>0</v>
      </c>
    </row>
    <row r="3" spans="1:1">
      <c r="A3" s="2"/>
    </row>
    <row r="4" spans="1:1">
      <c r="A4" s="3" t="s">
        <v>1</v>
      </c>
    </row>
    <row r="5" spans="1:1">
      <c r="A5" s="2" t="s">
        <v>2</v>
      </c>
    </row>
    <row r="6" spans="1:1">
      <c r="A6" s="2" t="s">
        <v>3</v>
      </c>
    </row>
    <row r="7" spans="1:1">
      <c r="A7" s="2" t="s">
        <v>4</v>
      </c>
    </row>
    <row r="8" spans="1:1">
      <c r="A8" s="2"/>
    </row>
    <row r="9" spans="1:1">
      <c r="A9" s="3" t="s">
        <v>5</v>
      </c>
    </row>
    <row r="10" spans="1:1">
      <c r="A10" s="2" t="s">
        <v>6</v>
      </c>
    </row>
    <row r="11" spans="1:1">
      <c r="A11" s="2" t="s">
        <v>7</v>
      </c>
    </row>
    <row r="12" spans="1:1">
      <c r="A12" s="2" t="s">
        <v>8</v>
      </c>
    </row>
    <row r="13" spans="1:1">
      <c r="A13" s="2" t="s">
        <v>9</v>
      </c>
    </row>
    <row r="14" spans="1:1">
      <c r="A14" s="2"/>
    </row>
    <row r="15" spans="1:1">
      <c r="A15" s="3" t="s">
        <v>10</v>
      </c>
    </row>
    <row r="16" spans="1:1">
      <c r="A16" s="2" t="s">
        <v>11</v>
      </c>
    </row>
    <row r="17" spans="1:1">
      <c r="A17" s="2" t="s">
        <v>12</v>
      </c>
    </row>
    <row r="18" spans="1:1">
      <c r="A18" s="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FormatPr defaultRowHeight="15"/>
  <cols>
    <col min="1" max="1" width="30.7109375" customWidth="1"/>
    <col min="2" max="4" width="14.7109375" customWidth="1"/>
    <col min="5" max="5" width="46.7109375" customWidth="1"/>
  </cols>
  <sheetData>
    <row r="1" spans="1:5">
      <c r="A1" s="1" t="s">
        <v>14</v>
      </c>
    </row>
    <row r="3" spans="1:5">
      <c r="A3" s="4" t="s">
        <v>15</v>
      </c>
      <c r="B3" s="4" t="s">
        <v>16</v>
      </c>
      <c r="C3" s="4" t="s">
        <v>17</v>
      </c>
      <c r="D3" s="4" t="s">
        <v>18</v>
      </c>
      <c r="E3" s="4" t="s">
        <v>19</v>
      </c>
    </row>
    <row r="4" spans="1:5">
      <c r="A4" s="5" t="s">
        <v>20</v>
      </c>
      <c r="B4" s="6">
        <v>600000</v>
      </c>
      <c r="C4" s="6">
        <v>1000000</v>
      </c>
      <c r="D4" s="6">
        <v>1500000</v>
      </c>
      <c r="E4" s="7" t="s">
        <v>21</v>
      </c>
    </row>
    <row r="6" spans="1:5">
      <c r="A6" s="4" t="s">
        <v>22</v>
      </c>
      <c r="B6" s="4" t="s">
        <v>23</v>
      </c>
      <c r="C6" s="4"/>
      <c r="D6" s="4"/>
      <c r="E6" s="4" t="s">
        <v>19</v>
      </c>
    </row>
    <row r="7" spans="1:5">
      <c r="A7" s="5" t="s">
        <v>24</v>
      </c>
      <c r="B7" s="8">
        <v>0.35</v>
      </c>
      <c r="E7" s="7" t="s">
        <v>25</v>
      </c>
    </row>
    <row r="8" spans="1:5">
      <c r="A8" s="5" t="s">
        <v>26</v>
      </c>
      <c r="B8" s="6">
        <v>80</v>
      </c>
      <c r="E8" s="7" t="s">
        <v>27</v>
      </c>
    </row>
    <row r="9" spans="1:5">
      <c r="A9" s="5" t="s">
        <v>28</v>
      </c>
      <c r="B9" s="8">
        <v>0.25</v>
      </c>
      <c r="E9" s="7" t="s">
        <v>29</v>
      </c>
    </row>
    <row r="10" spans="1:5">
      <c r="A10" s="5" t="s">
        <v>30</v>
      </c>
      <c r="B10" s="6">
        <v>40</v>
      </c>
      <c r="E10" s="7" t="s">
        <v>31</v>
      </c>
    </row>
    <row r="11" spans="1:5">
      <c r="A11" s="5" t="s">
        <v>32</v>
      </c>
      <c r="B11" s="8">
        <v>0.06</v>
      </c>
      <c r="E11" s="7" t="s">
        <v>33</v>
      </c>
    </row>
    <row r="12" spans="1:5">
      <c r="A12" s="5" t="s">
        <v>34</v>
      </c>
      <c r="B12" s="6">
        <v>150</v>
      </c>
      <c r="E12" s="7" t="s">
        <v>35</v>
      </c>
    </row>
    <row r="13" spans="1:5">
      <c r="A13" s="5" t="s">
        <v>36</v>
      </c>
      <c r="B13" s="6">
        <v>18</v>
      </c>
      <c r="E13" s="7" t="s">
        <v>37</v>
      </c>
    </row>
    <row r="14" spans="1:5">
      <c r="A14" s="5" t="s">
        <v>38</v>
      </c>
      <c r="B14" s="6">
        <v>8</v>
      </c>
      <c r="E14" s="7" t="s">
        <v>39</v>
      </c>
    </row>
    <row r="15" spans="1:5">
      <c r="A15" s="5" t="s">
        <v>40</v>
      </c>
      <c r="B15" s="6">
        <v>4</v>
      </c>
      <c r="E15" s="7"/>
    </row>
    <row r="17" spans="1:5">
      <c r="A17" s="4" t="s">
        <v>41</v>
      </c>
      <c r="B17" s="4" t="s">
        <v>23</v>
      </c>
      <c r="C17" s="4"/>
      <c r="D17" s="4"/>
      <c r="E17" s="4" t="s">
        <v>19</v>
      </c>
    </row>
    <row r="18" spans="1:5">
      <c r="A18" s="5" t="s">
        <v>42</v>
      </c>
      <c r="B18" s="6">
        <v>4400</v>
      </c>
      <c r="E18" s="7" t="s">
        <v>43</v>
      </c>
    </row>
    <row r="19" spans="1:5">
      <c r="A19" s="5" t="s">
        <v>44</v>
      </c>
      <c r="B19" s="8">
        <v>0.15</v>
      </c>
      <c r="E19" s="7" t="s">
        <v>45</v>
      </c>
    </row>
    <row r="21" spans="1:5">
      <c r="A21" s="4" t="s">
        <v>46</v>
      </c>
      <c r="B21" s="4" t="s">
        <v>23</v>
      </c>
      <c r="C21" s="4"/>
      <c r="D21" s="4"/>
      <c r="E21" s="4" t="s">
        <v>19</v>
      </c>
    </row>
    <row r="22" spans="1:5">
      <c r="A22" s="5" t="s">
        <v>47</v>
      </c>
      <c r="B22" s="6">
        <v>31000</v>
      </c>
      <c r="E22" s="7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26.7109375" customWidth="1"/>
    <col min="2" max="4" width="15.7109375" customWidth="1"/>
    <col min="5" max="5" width="40.7109375" customWidth="1"/>
  </cols>
  <sheetData>
    <row r="1" spans="1:5">
      <c r="A1" s="1" t="s">
        <v>49</v>
      </c>
    </row>
    <row r="3" spans="1:5">
      <c r="A3" s="4" t="s">
        <v>50</v>
      </c>
      <c r="B3" s="4" t="s">
        <v>16</v>
      </c>
      <c r="C3" s="4" t="s">
        <v>17</v>
      </c>
      <c r="D3" s="4" t="s">
        <v>18</v>
      </c>
      <c r="E3" s="4" t="s">
        <v>51</v>
      </c>
    </row>
    <row r="4" spans="1:5">
      <c r="A4" s="5" t="s">
        <v>52</v>
      </c>
      <c r="B4" s="9">
        <f>'01_假设'!$B$4*'01_假设'!$B$7*'01_假设'!$B$8/10000</f>
        <v>1680.0</v>
      </c>
      <c r="C4" s="9">
        <f>'01_假设'!$C$4*'01_假设'!$B$7*'01_假设'!$B$8/10000</f>
        <v>2800.0</v>
      </c>
      <c r="D4" s="9">
        <f>'01_假设'!$D$4*'01_假设'!$B$7*'01_假设'!$B$8/10000</f>
        <v>4200.0</v>
      </c>
      <c r="E4" s="7" t="s">
        <v>53</v>
      </c>
    </row>
    <row r="5" spans="1:5">
      <c r="A5" s="5" t="s">
        <v>54</v>
      </c>
      <c r="B5" s="9">
        <f>'01_假设'!$B$4*'01_假设'!$B$9*'01_假设'!$B$10/10000</f>
        <v>600.0</v>
      </c>
      <c r="C5" s="9">
        <f>'01_假设'!$C$4*'01_假设'!$B$9*'01_假设'!$B$10/10000</f>
        <v>1000.0</v>
      </c>
      <c r="D5" s="9">
        <f>'01_假设'!$D$4*'01_假设'!$B$9*'01_假设'!$B$10/10000</f>
        <v>1500.0</v>
      </c>
      <c r="E5" s="7" t="s">
        <v>55</v>
      </c>
    </row>
    <row r="6" spans="1:5">
      <c r="A6" s="5" t="s">
        <v>56</v>
      </c>
      <c r="B6" s="9">
        <f>'01_假设'!$B$4*'01_假设'!$B$13/10000</f>
        <v>1080.0</v>
      </c>
      <c r="C6" s="9">
        <f>'01_假设'!$C$4*'01_假设'!$B$13/10000</f>
        <v>1800.0</v>
      </c>
      <c r="D6" s="9">
        <f>'01_假设'!$D$4*'01_假设'!$B$13/10000</f>
        <v>2700.0</v>
      </c>
      <c r="E6" s="7" t="s">
        <v>57</v>
      </c>
    </row>
    <row r="7" spans="1:5">
      <c r="A7" s="5" t="s">
        <v>58</v>
      </c>
      <c r="B7" s="9">
        <f>'01_假设'!$B$4*'01_假设'!$B$14/10000</f>
        <v>480.0</v>
      </c>
      <c r="C7" s="9">
        <f>'01_假设'!$C$4*'01_假设'!$B$14/10000</f>
        <v>800.0</v>
      </c>
      <c r="D7" s="9">
        <f>'01_假设'!$D$4*'01_假设'!$B$14/10000</f>
        <v>1200.0</v>
      </c>
      <c r="E7" s="7" t="s">
        <v>57</v>
      </c>
    </row>
    <row r="8" spans="1:5">
      <c r="A8" s="5" t="s">
        <v>59</v>
      </c>
      <c r="B8" s="9">
        <f>'01_假设'!$B$4*'01_假设'!$B$11*'01_假设'!$B$12/10000</f>
        <v>540.0</v>
      </c>
      <c r="C8" s="9">
        <f>'01_假设'!$C$4*'01_假设'!$B$11*'01_假设'!$B$12/10000</f>
        <v>900.0</v>
      </c>
      <c r="D8" s="9">
        <f>'01_假设'!$D$4*'01_假设'!$B$11*'01_假设'!$B$12/10000</f>
        <v>1350.0</v>
      </c>
      <c r="E8" s="7" t="s">
        <v>60</v>
      </c>
    </row>
    <row r="9" spans="1:5">
      <c r="A9" s="5" t="s">
        <v>61</v>
      </c>
      <c r="B9" s="9">
        <f>'01_假设'!$B$4*'01_假设'!$B$15/10000</f>
        <v>240.0</v>
      </c>
      <c r="C9" s="9">
        <f>'01_假设'!$C$4*'01_假设'!$B$15/10000</f>
        <v>400.0</v>
      </c>
      <c r="D9" s="9">
        <f>'01_假设'!$D$4*'01_假设'!$B$15/10000</f>
        <v>600.0</v>
      </c>
      <c r="E9" s="7" t="s">
        <v>62</v>
      </c>
    </row>
    <row r="10" spans="1:5">
      <c r="A10" s="3" t="s">
        <v>63</v>
      </c>
      <c r="B10" s="10">
        <f>SUM(B4:B9)</f>
        <v>4620.0</v>
      </c>
      <c r="C10" s="10">
        <f>SUM(C4:C9)</f>
        <v>7700.0</v>
      </c>
      <c r="D10" s="10">
        <f>SUM(D4:D9)</f>
        <v>11550.0</v>
      </c>
      <c r="E10" s="5"/>
    </row>
    <row r="11" spans="1:5">
      <c r="A11" s="5" t="s">
        <v>64</v>
      </c>
      <c r="B11" s="11">
        <f>B10*10000/'01_假设'!$B$4</f>
        <v>77.0</v>
      </c>
      <c r="C11" s="11">
        <f>C10*10000/'01_假设'!$C$4</f>
        <v>77.0</v>
      </c>
      <c r="D11" s="11">
        <f>D10*10000/'01_假设'!$D$4</f>
        <v>77.0</v>
      </c>
      <c r="E11" s="7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26.7109375" customWidth="1"/>
    <col min="2" max="4" width="15.7109375" customWidth="1"/>
    <col min="5" max="5" width="44.7109375" customWidth="1"/>
  </cols>
  <sheetData>
    <row r="1" spans="1:5">
      <c r="A1" s="1" t="s">
        <v>66</v>
      </c>
    </row>
    <row r="3" spans="1:5">
      <c r="A3" s="4" t="s">
        <v>67</v>
      </c>
      <c r="B3" s="4" t="s">
        <v>16</v>
      </c>
      <c r="C3" s="4" t="s">
        <v>17</v>
      </c>
      <c r="D3" s="4" t="s">
        <v>18</v>
      </c>
      <c r="E3" s="4" t="s">
        <v>51</v>
      </c>
    </row>
    <row r="4" spans="1:5">
      <c r="A4" s="5" t="s">
        <v>63</v>
      </c>
      <c r="B4" s="9">
        <f>'02_收入测算'!B10</f>
        <v>4620.0</v>
      </c>
      <c r="C4" s="9">
        <f>'02_收入测算'!C10</f>
        <v>7700.0</v>
      </c>
      <c r="D4" s="9">
        <f>'02_收入测算'!D10</f>
        <v>11550.0</v>
      </c>
      <c r="E4" s="7" t="s">
        <v>68</v>
      </c>
    </row>
    <row r="5" spans="1:5">
      <c r="A5" s="5" t="s">
        <v>69</v>
      </c>
      <c r="B5" s="9">
        <f>'02_收入测算'!B10*'01_假设'!$B$19</f>
        <v>693.0</v>
      </c>
      <c r="C5" s="9">
        <f>'02_收入测算'!C10*'01_假设'!$B$19</f>
        <v>1155.0</v>
      </c>
      <c r="D5" s="9">
        <f>'02_收入测算'!D10*'01_假设'!$B$19</f>
        <v>1732.5</v>
      </c>
      <c r="E5" s="7" t="s">
        <v>70</v>
      </c>
    </row>
    <row r="6" spans="1:5">
      <c r="A6" s="5" t="s">
        <v>71</v>
      </c>
      <c r="B6" s="9">
        <f>'01_假设'!$B$18</f>
        <v>4400</v>
      </c>
      <c r="C6" s="9">
        <f>'01_假设'!$B$18</f>
        <v>4400</v>
      </c>
      <c r="D6" s="9">
        <f>'01_假设'!$B$18</f>
        <v>4400</v>
      </c>
      <c r="E6" s="7" t="s">
        <v>72</v>
      </c>
    </row>
    <row r="7" spans="1:5">
      <c r="A7" s="3" t="s">
        <v>73</v>
      </c>
      <c r="B7" s="10">
        <f>B4-B5-B6</f>
        <v>-473.0</v>
      </c>
      <c r="C7" s="10">
        <f>C4-C5-C6</f>
        <v>2145.0</v>
      </c>
      <c r="D7" s="10">
        <f>D4-D5-D6</f>
        <v>5417.5</v>
      </c>
      <c r="E7" s="7" t="s">
        <v>74</v>
      </c>
    </row>
    <row r="8" spans="1:5">
      <c r="A8" s="5" t="s">
        <v>75</v>
      </c>
      <c r="B8" s="12">
        <f>B7/B4</f>
        <v>-0.1024</v>
      </c>
      <c r="C8" s="12">
        <f>C7/C4</f>
        <v>0.2786</v>
      </c>
      <c r="D8" s="12">
        <f>D7/D4</f>
        <v>0.469</v>
      </c>
      <c r="E8" s="7"/>
    </row>
    <row r="9" spans="1:5">
      <c r="A9" s="3" t="s">
        <v>76</v>
      </c>
      <c r="B9" s="13" t="str">
        <f>IF(B7&lt;=0,"—",'01_假设'!$B$22/B7)</f>
        <v>—</v>
      </c>
      <c r="C9" s="13">
        <f>IF(C7&lt;=0,"—",'01_假设'!$B$22/C7)</f>
        <v>14.4522</v>
      </c>
      <c r="D9" s="13">
        <f>IF(D7&lt;=0,"—",'01_假设'!$B$22/D7)</f>
        <v>5.7222</v>
      </c>
      <c r="E9" s="7" t="s">
        <v>77</v>
      </c>
    </row>
    <row r="11" spans="1:5">
      <c r="A11" s="3" t="s">
        <v>78</v>
      </c>
      <c r="B11" s="13">
        <f>'01_假设'!$B$18*10000/('02_收入测算'!C11*(1-'01_假设'!$B$19))/10000</f>
        <v>67.23</v>
      </c>
      <c r="E11" s="7" t="s">
        <v>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9"/>
  <sheetViews>
    <sheetView workbookViewId="0"/>
  </sheetViews>
  <sheetFormatPr defaultRowHeight="15"/>
  <cols>
    <col min="1" max="1" width="14.7109375" customWidth="1"/>
    <col min="2" max="14" width="10.7109375" customWidth="1"/>
  </cols>
  <sheetData>
    <row r="1" spans="1:14">
      <c r="A1" s="1" t="s">
        <v>80</v>
      </c>
    </row>
    <row r="3" spans="1:14">
      <c r="A3" s="4" t="s">
        <v>81</v>
      </c>
      <c r="B3" s="4" t="s">
        <v>82</v>
      </c>
      <c r="C3" s="4" t="s">
        <v>83</v>
      </c>
      <c r="D3" s="4" t="s">
        <v>84</v>
      </c>
      <c r="E3" s="4" t="s">
        <v>85</v>
      </c>
      <c r="F3" s="4" t="s">
        <v>86</v>
      </c>
      <c r="G3" s="4" t="s">
        <v>87</v>
      </c>
      <c r="H3" s="4" t="s">
        <v>88</v>
      </c>
      <c r="I3" s="4" t="s">
        <v>89</v>
      </c>
      <c r="J3" s="4" t="s">
        <v>90</v>
      </c>
      <c r="K3" s="4" t="s">
        <v>91</v>
      </c>
      <c r="L3" s="4" t="s">
        <v>92</v>
      </c>
      <c r="M3" s="4" t="s">
        <v>93</v>
      </c>
      <c r="N3" s="4" t="s">
        <v>94</v>
      </c>
    </row>
    <row r="4" spans="1:14">
      <c r="A4" s="5" t="s">
        <v>95</v>
      </c>
      <c r="B4" s="8">
        <v>0.04</v>
      </c>
      <c r="C4" s="8">
        <v>0.06</v>
      </c>
      <c r="D4" s="8">
        <v>0.05</v>
      </c>
      <c r="E4" s="8">
        <v>0.07000000000000001</v>
      </c>
      <c r="F4" s="8">
        <v>0.1</v>
      </c>
      <c r="G4" s="8">
        <v>0.1</v>
      </c>
      <c r="H4" s="8">
        <v>0.14</v>
      </c>
      <c r="I4" s="8">
        <v>0.14</v>
      </c>
      <c r="J4" s="8">
        <v>0.1</v>
      </c>
      <c r="K4" s="8">
        <v>0.1</v>
      </c>
      <c r="L4" s="8">
        <v>0.05</v>
      </c>
      <c r="M4" s="8">
        <v>0.05</v>
      </c>
      <c r="N4" s="12">
        <f>SUM(B4:M4)</f>
        <v>1.0</v>
      </c>
    </row>
    <row r="5" spans="1:14">
      <c r="A5" s="5" t="s">
        <v>96</v>
      </c>
      <c r="B5" s="11">
        <f>'01_假设'!$C$4*B4/10000</f>
        <v>4.0</v>
      </c>
      <c r="C5" s="11">
        <f>'01_假设'!$C$4*C4/10000</f>
        <v>6.0</v>
      </c>
      <c r="D5" s="11">
        <f>'01_假设'!$C$4*D4/10000</f>
        <v>5.0</v>
      </c>
      <c r="E5" s="11">
        <f>'01_假设'!$C$4*E4/10000</f>
        <v>7.0</v>
      </c>
      <c r="F5" s="11">
        <f>'01_假设'!$C$4*F4/10000</f>
        <v>10.0</v>
      </c>
      <c r="G5" s="11">
        <f>'01_假设'!$C$4*G4/10000</f>
        <v>10.0</v>
      </c>
      <c r="H5" s="11">
        <f>'01_假设'!$C$4*H4/10000</f>
        <v>14.0</v>
      </c>
      <c r="I5" s="11">
        <f>'01_假设'!$C$4*I4/10000</f>
        <v>14.0</v>
      </c>
      <c r="J5" s="11">
        <f>'01_假设'!$C$4*J4/10000</f>
        <v>10.0</v>
      </c>
      <c r="K5" s="11">
        <f>'01_假设'!$C$4*K4/10000</f>
        <v>10.0</v>
      </c>
      <c r="L5" s="11">
        <f>'01_假设'!$C$4*L4/10000</f>
        <v>5.0</v>
      </c>
      <c r="M5" s="11">
        <f>'01_假设'!$C$4*M4/10000</f>
        <v>5.0</v>
      </c>
      <c r="N5" s="13">
        <f>SUM(B5:M5)</f>
        <v>100.0</v>
      </c>
    </row>
    <row r="7" spans="1:14">
      <c r="A7" s="5" t="s">
        <v>97</v>
      </c>
      <c r="B7" s="14">
        <f>B5/31</f>
        <v>0.13</v>
      </c>
      <c r="C7" s="14">
        <f>C5/28</f>
        <v>0.21</v>
      </c>
      <c r="D7" s="14">
        <f>D5/31</f>
        <v>0.16</v>
      </c>
      <c r="E7" s="14">
        <f>E5/30</f>
        <v>0.23</v>
      </c>
      <c r="F7" s="14">
        <f>F5/31</f>
        <v>0.32</v>
      </c>
      <c r="G7" s="14">
        <f>G5/30</f>
        <v>0.33</v>
      </c>
      <c r="H7" s="14">
        <f>H5/31</f>
        <v>0.45</v>
      </c>
      <c r="I7" s="14">
        <f>I5/31</f>
        <v>0.45</v>
      </c>
      <c r="J7" s="14">
        <f>J5/30</f>
        <v>0.33</v>
      </c>
      <c r="K7" s="14">
        <f>K5/31</f>
        <v>0.32</v>
      </c>
      <c r="L7" s="14">
        <f>L5/30</f>
        <v>0.17</v>
      </c>
      <c r="M7" s="14">
        <f>M5/31</f>
        <v>0.16</v>
      </c>
    </row>
    <row r="9" spans="1:14">
      <c r="A9" s="2" t="s">
        <v>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1" width="24.7109375" customWidth="1"/>
    <col min="2" max="6" width="13.7109375" customWidth="1"/>
  </cols>
  <sheetData>
    <row r="1" spans="1:4">
      <c r="A1" s="1" t="s">
        <v>99</v>
      </c>
    </row>
    <row r="3" spans="1:4">
      <c r="A3" s="4" t="s">
        <v>100</v>
      </c>
      <c r="B3" s="6">
        <v>60</v>
      </c>
      <c r="C3" s="6">
        <v>77</v>
      </c>
      <c r="D3" s="6">
        <v>95</v>
      </c>
    </row>
    <row r="4" spans="1:4">
      <c r="A4" s="6">
        <v>60</v>
      </c>
      <c r="B4" s="9">
        <f>$A4*B$3*(1-'01_假设'!$B$19)-'01_假设'!$B$18</f>
        <v>-1340.0</v>
      </c>
      <c r="C4" s="9">
        <f>$A4*C$3*(1-'01_假设'!$B$19)-'01_假设'!$B$18</f>
        <v>-473.0</v>
      </c>
      <c r="D4" s="9">
        <f>$A4*D$3*(1-'01_假设'!$B$19)-'01_假设'!$B$18</f>
        <v>445.0</v>
      </c>
    </row>
    <row r="5" spans="1:4">
      <c r="A5" s="6">
        <v>80</v>
      </c>
      <c r="B5" s="9">
        <f>$A5*B$3*(1-'01_假设'!$B$19)-'01_假设'!$B$18</f>
        <v>-320.0</v>
      </c>
      <c r="C5" s="9">
        <f>$A5*C$3*(1-'01_假设'!$B$19)-'01_假设'!$B$18</f>
        <v>836.0</v>
      </c>
      <c r="D5" s="9">
        <f>$A5*D$3*(1-'01_假设'!$B$19)-'01_假设'!$B$18</f>
        <v>2060.0</v>
      </c>
    </row>
    <row r="6" spans="1:4">
      <c r="A6" s="6">
        <v>100</v>
      </c>
      <c r="B6" s="9">
        <f>$A6*B$3*(1-'01_假设'!$B$19)-'01_假设'!$B$18</f>
        <v>700.0</v>
      </c>
      <c r="C6" s="9">
        <f>$A6*C$3*(1-'01_假设'!$B$19)-'01_假设'!$B$18</f>
        <v>2145.0</v>
      </c>
      <c r="D6" s="9">
        <f>$A6*D$3*(1-'01_假设'!$B$19)-'01_假设'!$B$18</f>
        <v>3675.0</v>
      </c>
    </row>
    <row r="7" spans="1:4">
      <c r="A7" s="6">
        <v>120</v>
      </c>
      <c r="B7" s="9">
        <f>$A7*B$3*(1-'01_假设'!$B$19)-'01_假设'!$B$18</f>
        <v>1720.0</v>
      </c>
      <c r="C7" s="9">
        <f>$A7*C$3*(1-'01_假设'!$B$19)-'01_假设'!$B$18</f>
        <v>3454.0</v>
      </c>
      <c r="D7" s="9">
        <f>$A7*D$3*(1-'01_假设'!$B$19)-'01_假设'!$B$18</f>
        <v>5290.0</v>
      </c>
    </row>
    <row r="8" spans="1:4">
      <c r="A8" s="6">
        <v>150</v>
      </c>
      <c r="B8" s="9">
        <f>$A8*B$3*(1-'01_假设'!$B$19)-'01_假设'!$B$18</f>
        <v>3250.0</v>
      </c>
      <c r="C8" s="9">
        <f>$A8*C$3*(1-'01_假设'!$B$19)-'01_假设'!$B$18</f>
        <v>5418.0</v>
      </c>
      <c r="D8" s="9">
        <f>$A8*D$3*(1-'01_假设'!$B$19)-'01_假设'!$B$18</f>
        <v>7712.0</v>
      </c>
    </row>
    <row r="10" spans="1:4">
      <c r="A10" s="2" t="s">
        <v>101</v>
      </c>
    </row>
  </sheetData>
  <conditionalFormatting sqref="B4:D8">
    <cfRule type="colorScale" priority="1">
      <colorScale>
        <cfvo type="min" val="0"/>
        <cfvo type="percentile" val="50"/>
        <cfvo type="max" val="0"/>
        <color rgb="FFF4CCCC"/>
        <color rgb="FFFFF3C4"/>
        <color rgb="FFD9EAD3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00_使用说明</vt:lpstr>
      <vt:lpstr>01_假设</vt:lpstr>
      <vt:lpstr>02_收入测算</vt:lpstr>
      <vt:lpstr>03_成本与利润</vt:lpstr>
      <vt:lpstr>04_月度客流</vt:lpstr>
      <vt:lpstr>05_敏感性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2026-08-04T07:35:40Z</dcterms:created>
  <dcterms:modified xsi:type="dcterms:W3CDTF">2026-08-04T07:35:40Z</dcterms:modified>
</cp:coreProperties>
</file>