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资产包装\通化\通化玉皇山公园\"/>
    </mc:Choice>
  </mc:AlternateContent>
  <xr:revisionPtr revIDLastSave="0" documentId="13_ncr:1_{68B39EAC-7F1F-496E-9D17-4F5EA3D40AB8}" xr6:coauthVersionLast="47" xr6:coauthVersionMax="47" xr10:uidLastSave="{00000000-0000-0000-0000-000000000000}"/>
  <bookViews>
    <workbookView xWindow="3375" yWindow="390" windowWidth="22740" windowHeight="20010" activeTab="5" xr2:uid="{00000000-000D-0000-FFFF-FFFF00000000}"/>
  </bookViews>
  <sheets>
    <sheet name="01不动产" sheetId="4" r:id="rId1"/>
    <sheet name="02房屋情况" sheetId="5" r:id="rId2"/>
    <sheet name="03动物情况" sheetId="6" r:id="rId3"/>
    <sheet name="04其他临建情况" sheetId="7" r:id="rId4"/>
    <sheet name="05投资估算" sheetId="1" r:id="rId5"/>
    <sheet name="06收入预测" sheetId="3" r:id="rId6"/>
    <sheet name="推演数据" sheetId="8" r:id="rId7"/>
  </sheets>
  <definedNames>
    <definedName name="_xlnm.Print_Area" localSheetId="4">'05投资估算'!$B$2:$G$68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3" l="1"/>
  <c r="K20" i="3"/>
  <c r="K21" i="3"/>
  <c r="F21" i="3"/>
  <c r="K19" i="3"/>
  <c r="K18" i="3"/>
  <c r="K17" i="3"/>
  <c r="M13" i="3"/>
  <c r="K13" i="3"/>
  <c r="F13" i="3"/>
  <c r="K10" i="3"/>
  <c r="F10" i="3"/>
  <c r="O25" i="3"/>
  <c r="K9" i="3"/>
  <c r="L6" i="3"/>
  <c r="K8" i="3" l="1"/>
  <c r="K6" i="3"/>
  <c r="M24" i="3"/>
  <c r="M22" i="3"/>
  <c r="M10" i="3"/>
  <c r="L22" i="3"/>
  <c r="L20" i="3"/>
  <c r="K22" i="3"/>
  <c r="G25" i="1"/>
  <c r="G16" i="1"/>
  <c r="F22" i="3"/>
  <c r="H22" i="3" s="1"/>
  <c r="I22" i="3" s="1"/>
  <c r="F17" i="3"/>
  <c r="H17" i="3" s="1"/>
  <c r="I17" i="3" s="1"/>
  <c r="G35" i="3"/>
  <c r="G42" i="3" s="1"/>
  <c r="F35" i="3"/>
  <c r="E35" i="3"/>
  <c r="F24" i="3"/>
  <c r="H24" i="3" s="1"/>
  <c r="I24" i="3" s="1"/>
  <c r="H13" i="3"/>
  <c r="I13" i="3" s="1"/>
  <c r="H7" i="3"/>
  <c r="I7" i="3" s="1"/>
  <c r="H16" i="3"/>
  <c r="I16" i="3" s="1"/>
  <c r="H21" i="3"/>
  <c r="I21" i="3" s="1"/>
  <c r="F15" i="3"/>
  <c r="H15" i="3" s="1"/>
  <c r="I15" i="3" s="1"/>
  <c r="F18" i="3"/>
  <c r="H18" i="3" s="1"/>
  <c r="I18" i="3" s="1"/>
  <c r="H19" i="3"/>
  <c r="I19" i="3" s="1"/>
  <c r="F20" i="3"/>
  <c r="H20" i="3" s="1"/>
  <c r="I20" i="3" s="1"/>
  <c r="F14" i="3"/>
  <c r="H14" i="3" s="1"/>
  <c r="I14" i="3" s="1"/>
  <c r="F12" i="3"/>
  <c r="H12" i="3" s="1"/>
  <c r="I12" i="3" s="1"/>
  <c r="F11" i="3"/>
  <c r="H11" i="3" s="1"/>
  <c r="I11" i="3" s="1"/>
  <c r="H10" i="3"/>
  <c r="I10" i="3" s="1"/>
  <c r="F6" i="3"/>
  <c r="H6" i="3" s="1"/>
  <c r="I6" i="3" s="1"/>
  <c r="F8" i="3"/>
  <c r="H8" i="3" s="1"/>
  <c r="I8" i="3" s="1"/>
  <c r="F9" i="3"/>
  <c r="H9" i="3" s="1"/>
  <c r="I9" i="3" s="1"/>
  <c r="G34" i="3"/>
  <c r="E34" i="3"/>
  <c r="F34" i="3"/>
  <c r="D34" i="3"/>
  <c r="F25" i="3" l="1"/>
  <c r="D43" i="3" s="1"/>
  <c r="I25" i="3"/>
  <c r="H25" i="3"/>
  <c r="H26" i="3" l="1"/>
  <c r="E42" i="3" s="1"/>
  <c r="E43" i="3" s="1"/>
  <c r="I26" i="3"/>
  <c r="F42" i="3" s="1"/>
  <c r="F43" i="3" l="1"/>
  <c r="G43" i="3" s="1"/>
  <c r="G30" i="8"/>
  <c r="D30" i="8"/>
  <c r="F29" i="8"/>
  <c r="F25" i="8"/>
  <c r="F18" i="8"/>
  <c r="G15" i="1"/>
  <c r="G50" i="1"/>
  <c r="G51" i="1"/>
  <c r="G52" i="1"/>
  <c r="G53" i="1"/>
  <c r="G54" i="1"/>
  <c r="G55" i="1"/>
  <c r="G56" i="1"/>
  <c r="G57" i="1"/>
  <c r="G58" i="1"/>
  <c r="G49" i="1"/>
  <c r="G42" i="1"/>
  <c r="G43" i="1"/>
  <c r="G41" i="1"/>
  <c r="G40" i="1" s="1"/>
  <c r="G46" i="1"/>
  <c r="G47" i="1"/>
  <c r="G45" i="1"/>
  <c r="G38" i="1"/>
  <c r="G39" i="1"/>
  <c r="G37" i="1"/>
  <c r="G23" i="1"/>
  <c r="G24" i="1"/>
  <c r="G22" i="1"/>
  <c r="G18" i="1"/>
  <c r="G17" i="1" s="1"/>
  <c r="G33" i="1"/>
  <c r="G34" i="1"/>
  <c r="G35" i="1"/>
  <c r="G32" i="1"/>
  <c r="G14" i="1"/>
  <c r="G7" i="1"/>
  <c r="G8" i="1"/>
  <c r="G9" i="1"/>
  <c r="G10" i="1"/>
  <c r="G11" i="1"/>
  <c r="G12" i="1"/>
  <c r="G13" i="1"/>
  <c r="G6" i="1"/>
  <c r="D11" i="7"/>
  <c r="D8" i="7"/>
  <c r="D11" i="5"/>
  <c r="E7" i="4"/>
  <c r="G36" i="1" l="1"/>
  <c r="G21" i="1"/>
  <c r="G48" i="1"/>
  <c r="G44" i="1"/>
  <c r="G31" i="1"/>
  <c r="G5" i="1"/>
  <c r="G4" i="1" l="1"/>
  <c r="G59" i="1" s="1"/>
  <c r="G60" i="1" s="1"/>
  <c r="G61" i="1" l="1"/>
  <c r="G62" i="1" s="1"/>
  <c r="G64" i="1" l="1"/>
</calcChain>
</file>

<file path=xl/sharedStrings.xml><?xml version="1.0" encoding="utf-8"?>
<sst xmlns="http://schemas.openxmlformats.org/spreadsheetml/2006/main" count="454" uniqueCount="347">
  <si>
    <t>玉皇山公园改造项目初步设计规划投资估算表</t>
  </si>
  <si>
    <t>序号</t>
  </si>
  <si>
    <t>工程内容</t>
  </si>
  <si>
    <t>工程量</t>
  </si>
  <si>
    <t>单位</t>
  </si>
  <si>
    <t>造价（万元）</t>
  </si>
  <si>
    <t>一</t>
  </si>
  <si>
    <t>工程费用</t>
  </si>
  <si>
    <t>1.1.1</t>
  </si>
  <si>
    <t>南入口车场改造提升</t>
  </si>
  <si>
    <t>平方米</t>
  </si>
  <si>
    <t>1.1.2</t>
  </si>
  <si>
    <t>1.1.3</t>
  </si>
  <si>
    <t>卫生间\园区导视</t>
  </si>
  <si>
    <t>项</t>
  </si>
  <si>
    <t>1.1.4</t>
  </si>
  <si>
    <t>智慧公园系统</t>
  </si>
  <si>
    <t>1.1.5</t>
  </si>
  <si>
    <t>1.1.6</t>
  </si>
  <si>
    <t>园区亮化</t>
  </si>
  <si>
    <t>1.1.7</t>
  </si>
  <si>
    <t>观景台改造</t>
  </si>
  <si>
    <t>1.2.1</t>
  </si>
  <si>
    <t>1.2.2</t>
  </si>
  <si>
    <t>儿童公园冬季戏雪换装及设备</t>
  </si>
  <si>
    <t>1.2.3</t>
  </si>
  <si>
    <t>儿童乐园配套设施</t>
  </si>
  <si>
    <t>1.3.1</t>
  </si>
  <si>
    <t>1.3.2</t>
  </si>
  <si>
    <t>1.3.3</t>
  </si>
  <si>
    <t>配套水电</t>
  </si>
  <si>
    <t>动物观赏区改造提升</t>
  </si>
  <si>
    <t>1.4.1</t>
  </si>
  <si>
    <t>原舍改造</t>
  </si>
  <si>
    <t>1.4.2</t>
  </si>
  <si>
    <t>新增萌宠</t>
  </si>
  <si>
    <t>1.4.3</t>
  </si>
  <si>
    <t>动物互动</t>
  </si>
  <si>
    <t>1.4.4</t>
  </si>
  <si>
    <t>动物零食售卖亭</t>
  </si>
  <si>
    <t>1.4.5</t>
  </si>
  <si>
    <t>动物医院</t>
  </si>
  <si>
    <t>1.5.1</t>
  </si>
  <si>
    <t>1.5.2</t>
  </si>
  <si>
    <t>1.5.3</t>
  </si>
  <si>
    <t>1.5.4</t>
  </si>
  <si>
    <t>1.6.1</t>
  </si>
  <si>
    <t>场地整理</t>
  </si>
  <si>
    <t>1.6.2</t>
  </si>
  <si>
    <t>照明/美陈</t>
  </si>
  <si>
    <t>1.6.3</t>
  </si>
  <si>
    <t>商亭/摊位</t>
  </si>
  <si>
    <t>既有房屋改造</t>
  </si>
  <si>
    <t>1.7.1</t>
  </si>
  <si>
    <t>1.7.2</t>
  </si>
  <si>
    <t>1.7.3</t>
  </si>
  <si>
    <t>1.8.1</t>
  </si>
  <si>
    <t>研学展馆临建</t>
  </si>
  <si>
    <t>1.8.2</t>
  </si>
  <si>
    <t>冬季抗联体验</t>
  </si>
  <si>
    <t>1.8.3</t>
  </si>
  <si>
    <t>林学科普及衍生品</t>
  </si>
  <si>
    <t>花海/露营区/低碳林改造</t>
  </si>
  <si>
    <t>低碳林</t>
  </si>
  <si>
    <t>二</t>
  </si>
  <si>
    <t>三</t>
  </si>
  <si>
    <t>四</t>
  </si>
  <si>
    <t>建设投资</t>
  </si>
  <si>
    <t>五</t>
  </si>
  <si>
    <t>建设期利息</t>
  </si>
  <si>
    <t>六</t>
  </si>
  <si>
    <t>七</t>
  </si>
  <si>
    <t>二类费用（一）*9.5%
（含建前期咨询、勘察设计、监理、工程保险、场地准备、检验检测）</t>
    <phoneticPr fontId="5" type="noConversion"/>
  </si>
  <si>
    <t>说明：</t>
    <phoneticPr fontId="5" type="noConversion"/>
  </si>
  <si>
    <t>零碳园区设施改造</t>
    <phoneticPr fontId="5" type="noConversion"/>
  </si>
  <si>
    <t>融资总金额</t>
    <phoneticPr fontId="5" type="noConversion"/>
  </si>
  <si>
    <t>建设期利息</t>
    <phoneticPr fontId="5" type="noConversion"/>
  </si>
  <si>
    <t>二类费用</t>
    <phoneticPr fontId="5" type="noConversion"/>
  </si>
  <si>
    <t>经营权拍卖</t>
    <phoneticPr fontId="5" type="noConversion"/>
  </si>
  <si>
    <t>建设资金</t>
    <phoneticPr fontId="5" type="noConversion"/>
  </si>
  <si>
    <t>宝贝王</t>
    <phoneticPr fontId="5" type="noConversion"/>
  </si>
  <si>
    <t>公建出租</t>
    <phoneticPr fontId="5" type="noConversion"/>
  </si>
  <si>
    <t>取决于面积</t>
    <phoneticPr fontId="5" type="noConversion"/>
  </si>
  <si>
    <t>婚礼/策展</t>
    <phoneticPr fontId="5" type="noConversion"/>
  </si>
  <si>
    <t>动物园</t>
    <phoneticPr fontId="5" type="noConversion"/>
  </si>
  <si>
    <t>研学</t>
    <phoneticPr fontId="5" type="noConversion"/>
  </si>
  <si>
    <t>禅修</t>
    <phoneticPr fontId="5" type="noConversion"/>
  </si>
  <si>
    <t>康养</t>
    <phoneticPr fontId="5" type="noConversion"/>
  </si>
  <si>
    <t>咖啡/livehouse</t>
    <phoneticPr fontId="5" type="noConversion"/>
  </si>
  <si>
    <t>低碳</t>
    <phoneticPr fontId="5" type="noConversion"/>
  </si>
  <si>
    <t>停车场</t>
    <phoneticPr fontId="5" type="noConversion"/>
  </si>
  <si>
    <t>收入</t>
    <phoneticPr fontId="5" type="noConversion"/>
  </si>
  <si>
    <t>面积</t>
    <phoneticPr fontId="5" type="noConversion"/>
  </si>
  <si>
    <t>市集</t>
    <phoneticPr fontId="5" type="noConversion"/>
  </si>
  <si>
    <t>车辆交通</t>
    <phoneticPr fontId="5" type="noConversion"/>
  </si>
  <si>
    <t>旅拍</t>
    <phoneticPr fontId="5" type="noConversion"/>
  </si>
  <si>
    <t>土地</t>
    <phoneticPr fontId="5" type="noConversion"/>
  </si>
  <si>
    <t>房屋</t>
    <phoneticPr fontId="5" type="noConversion"/>
  </si>
  <si>
    <t>林地</t>
    <phoneticPr fontId="5" type="noConversion"/>
  </si>
  <si>
    <t>性质</t>
    <phoneticPr fontId="5" type="noConversion"/>
  </si>
  <si>
    <t>划拨</t>
    <phoneticPr fontId="5" type="noConversion"/>
  </si>
  <si>
    <t>自建房</t>
    <phoneticPr fontId="5" type="noConversion"/>
  </si>
  <si>
    <t>类别</t>
  </si>
  <si>
    <t>类别</t>
    <phoneticPr fontId="5" type="noConversion"/>
  </si>
  <si>
    <t>道路及建设用地</t>
    <phoneticPr fontId="5" type="noConversion"/>
  </si>
  <si>
    <t>小计</t>
    <phoneticPr fontId="5" type="noConversion"/>
  </si>
  <si>
    <t>不动产</t>
    <phoneticPr fontId="5" type="noConversion"/>
  </si>
  <si>
    <t>幢号</t>
  </si>
  <si>
    <t>建筑名称</t>
  </si>
  <si>
    <t>建筑面积（㎡）</t>
  </si>
  <si>
    <t>总层数</t>
  </si>
  <si>
    <t>鉴定报告面积核对</t>
  </si>
  <si>
    <t>幢1</t>
  </si>
  <si>
    <t>公园管理办公楼</t>
  </si>
  <si>
    <t>1–2</t>
  </si>
  <si>
    <t>✅ 一致</t>
  </si>
  <si>
    <t>幢2</t>
  </si>
  <si>
    <t>公园配电间</t>
  </si>
  <si>
    <t>幢3</t>
  </si>
  <si>
    <t>动物圈舍一</t>
  </si>
  <si>
    <t>幢4</t>
  </si>
  <si>
    <t>动物组办公室</t>
  </si>
  <si>
    <t>幢5</t>
  </si>
  <si>
    <t>动物圈舍二</t>
  </si>
  <si>
    <t>幢6</t>
  </si>
  <si>
    <t>玉皇山花窖</t>
  </si>
  <si>
    <t>合计</t>
  </si>
  <si>
    <t>合计</t>
    <phoneticPr fontId="5" type="noConversion"/>
  </si>
  <si>
    <t>玉皇山公园动物园 动物年度统计表（2026）</t>
  </si>
  <si>
    <t>品种</t>
  </si>
  <si>
    <t>数量(只/头/羽)</t>
  </si>
  <si>
    <t>性别构成(公/母/未标注)</t>
  </si>
  <si>
    <t>出生时间</t>
  </si>
  <si>
    <t>入园时间</t>
  </si>
  <si>
    <t>保护级别</t>
  </si>
  <si>
    <t>繁殖条件评估</t>
  </si>
  <si>
    <t>备注</t>
  </si>
  <si>
    <t>大型草食</t>
  </si>
  <si>
    <t>牦牛</t>
  </si>
  <si>
    <t>1 / 3 / —</t>
  </si>
  <si>
    <t>不详</t>
  </si>
  <si>
    <t>2018.10</t>
  </si>
  <si>
    <t>国家二级</t>
  </si>
  <si>
    <t>可繁殖（1公3母）</t>
  </si>
  <si>
    <t>饲料成本最高的单体组</t>
  </si>
  <si>
    <t>矮马</t>
  </si>
  <si>
    <t>2 / 0 / —</t>
  </si>
  <si>
    <t>—</t>
  </si>
  <si>
    <t>不可繁殖（无母）</t>
  </si>
  <si>
    <t>无繁殖价值，仅展示/乘骑</t>
  </si>
  <si>
    <t>梅花鹿</t>
  </si>
  <si>
    <t>1 / 1 / —</t>
  </si>
  <si>
    <t>2025.3</t>
  </si>
  <si>
    <t>2025.9</t>
  </si>
  <si>
    <t>可繁殖（1公1母）</t>
  </si>
  <si>
    <t>2025年新生配对，重点关注</t>
  </si>
  <si>
    <t>羊驼</t>
  </si>
  <si>
    <t>0 / 2 / —</t>
  </si>
  <si>
    <t>2003</t>
  </si>
  <si>
    <t>不可繁殖（无公）</t>
  </si>
  <si>
    <t>23岁高龄，医疗费上升</t>
  </si>
  <si>
    <t>狍子</t>
  </si>
  <si>
    <t>1 / 0 / —</t>
  </si>
  <si>
    <t>2018</t>
  </si>
  <si>
    <t>三有/省保</t>
  </si>
  <si>
    <t>无配对</t>
  </si>
  <si>
    <t>猛兽/杂食</t>
  </si>
  <si>
    <t>黑熊</t>
  </si>
  <si>
    <t>1 / 2 / —</t>
  </si>
  <si>
    <t>2017.11</t>
  </si>
  <si>
    <t>2018.4</t>
  </si>
  <si>
    <t>可繁殖（1公2母）</t>
  </si>
  <si>
    <t>冬季可自然冬眠省料</t>
  </si>
  <si>
    <t>灵长类</t>
  </si>
  <si>
    <t>猴子</t>
  </si>
  <si>
    <t>群体</t>
  </si>
  <si>
    <t>2002</t>
  </si>
  <si>
    <t>国家二级(视品种)</t>
  </si>
  <si>
    <t>不可繁殖（2公）</t>
  </si>
  <si>
    <t>园龄24年，老龄</t>
  </si>
  <si>
    <t>猛禽</t>
  </si>
  <si>
    <t>秃鹫</t>
  </si>
  <si>
    <t>2021</t>
  </si>
  <si>
    <t>台账空缺</t>
  </si>
  <si>
    <t>国家一级</t>
  </si>
  <si>
    <t>入园时间需补登</t>
  </si>
  <si>
    <t>观赏鸟</t>
  </si>
  <si>
    <t>孔雀</t>
  </si>
  <si>
    <t>5 / 2 / —</t>
  </si>
  <si>
    <t>性别比严重失衡</t>
  </si>
  <si>
    <t>建议淘汰多余公鸡2–3只</t>
  </si>
  <si>
    <t>野鸡</t>
  </si>
  <si>
    <t>三有</t>
  </si>
  <si>
    <t>雁鹅</t>
  </si>
  <si>
    <t>2019</t>
  </si>
  <si>
    <t>鸳鸯</t>
  </si>
  <si>
    <t>— / — / 1</t>
  </si>
  <si>
    <t>2022</t>
  </si>
  <si>
    <t>性别未标注</t>
  </si>
  <si>
    <t>鸽子</t>
  </si>
  <si>
    <t>— / — / 28</t>
  </si>
  <si>
    <t>数量大、单体成本最低</t>
  </si>
  <si>
    <t>公16 / 母10 / 未标注29</t>
  </si>
  <si>
    <t>13个品种</t>
  </si>
  <si>
    <t>单价</t>
    <phoneticPr fontId="5" type="noConversion"/>
  </si>
  <si>
    <t>铁皮房一</t>
    <phoneticPr fontId="5" type="noConversion"/>
  </si>
  <si>
    <t>铁皮房二</t>
    <phoneticPr fontId="5" type="noConversion"/>
  </si>
  <si>
    <t>铁皮房三</t>
    <phoneticPr fontId="5" type="noConversion"/>
  </si>
  <si>
    <t>铁皮房四</t>
    <phoneticPr fontId="5" type="noConversion"/>
  </si>
  <si>
    <t>铁皮房五</t>
    <phoneticPr fontId="5" type="noConversion"/>
  </si>
  <si>
    <t>位置</t>
    <phoneticPr fontId="5" type="noConversion"/>
  </si>
  <si>
    <t>游乐园</t>
    <phoneticPr fontId="5" type="noConversion"/>
  </si>
  <si>
    <t>用途</t>
    <phoneticPr fontId="5" type="noConversion"/>
  </si>
  <si>
    <t>卫生间一</t>
    <phoneticPr fontId="5" type="noConversion"/>
  </si>
  <si>
    <t>卫生间二</t>
    <phoneticPr fontId="5" type="noConversion"/>
  </si>
  <si>
    <t>备注</t>
    <phoneticPr fontId="5" type="noConversion"/>
  </si>
  <si>
    <t>游客中心建设</t>
    <phoneticPr fontId="5" type="noConversion"/>
  </si>
  <si>
    <t>临建+构筑物</t>
    <phoneticPr fontId="5" type="noConversion"/>
  </si>
  <si>
    <t>项</t>
    <phoneticPr fontId="5" type="noConversion"/>
  </si>
  <si>
    <t>玉皇山大马戏</t>
    <phoneticPr fontId="5" type="noConversion"/>
  </si>
  <si>
    <t>1.1.8</t>
  </si>
  <si>
    <t>山谷栈道</t>
    <phoneticPr fontId="5" type="noConversion"/>
  </si>
  <si>
    <t>米</t>
    <phoneticPr fontId="5" type="noConversion"/>
  </si>
  <si>
    <t>含灯光</t>
    <phoneticPr fontId="5" type="noConversion"/>
  </si>
  <si>
    <t>建设期管理费</t>
    <phoneticPr fontId="5" type="noConversion"/>
  </si>
  <si>
    <t>总投资</t>
    <phoneticPr fontId="5" type="noConversion"/>
  </si>
  <si>
    <t>所有建设项目均不占用林地，均已构筑物形态利用林间空地，和树冠下方空间</t>
    <phoneticPr fontId="5" type="noConversion"/>
  </si>
  <si>
    <t>配套用房均考虑临建方式，水电配套就近接入</t>
    <phoneticPr fontId="5" type="noConversion"/>
  </si>
  <si>
    <t>北入口停车场及游客中心因未确定土地使用状况及动迁状况，本次改造暂不统计</t>
    <phoneticPr fontId="5" type="noConversion"/>
  </si>
  <si>
    <t>网球场/水塘改造提升</t>
    <phoneticPr fontId="5" type="noConversion"/>
  </si>
  <si>
    <t>湖畔影院</t>
    <phoneticPr fontId="5" type="noConversion"/>
  </si>
  <si>
    <r>
      <t xml:space="preserve">另有《花窖锅炉房》安全鉴定报告，面积 </t>
    </r>
    <r>
      <rPr>
        <sz val="11"/>
        <color theme="1"/>
        <rFont val="等线"/>
        <charset val="134"/>
        <scheme val="minor"/>
      </rPr>
      <t>79.79 ㎡，但该建筑未出现在产权证附记的 6 幢清单中，证书房屋总面积 2,179.97 ㎡也不含此项。</t>
    </r>
  </si>
  <si>
    <r>
      <t xml:space="preserve">各单体鉴定结论均为 </t>
    </r>
    <r>
      <rPr>
        <sz val="11"/>
        <color theme="1"/>
        <rFont val="等线"/>
        <charset val="134"/>
        <scheme val="minor"/>
      </rPr>
      <t>Bsu 级（办公楼报告结论页明确为 Bsu，尚不显著影响整体承载，建议每年定期检查、不得擅自改变用途或增加荷载）</t>
    </r>
  </si>
  <si>
    <t>索道房测绘面积384平米，未列入产权登记</t>
    <phoneticPr fontId="5" type="noConversion"/>
  </si>
  <si>
    <t>原网球场</t>
    <phoneticPr fontId="5" type="noConversion"/>
  </si>
  <si>
    <t>室内高尔夫</t>
    <phoneticPr fontId="5" type="noConversion"/>
  </si>
  <si>
    <t>青年街区</t>
    <phoneticPr fontId="5" type="noConversion"/>
  </si>
  <si>
    <t>庙会/市集区改造提升</t>
    <phoneticPr fontId="5" type="noConversion"/>
  </si>
  <si>
    <t>儿童公园IP引入及设施购置</t>
    <phoneticPr fontId="5" type="noConversion"/>
  </si>
  <si>
    <t>超级儿童乐园及配套设施</t>
    <phoneticPr fontId="5" type="noConversion"/>
  </si>
  <si>
    <t>情景造型搭建</t>
    <phoneticPr fontId="5" type="noConversion"/>
  </si>
  <si>
    <t>夜场灯光</t>
    <phoneticPr fontId="5" type="noConversion"/>
  </si>
  <si>
    <t>水体治疗及构筑物</t>
    <phoneticPr fontId="5" type="noConversion"/>
  </si>
  <si>
    <t>素食餐厅</t>
    <phoneticPr fontId="5" type="noConversion"/>
  </si>
  <si>
    <t>森林剧场</t>
    <phoneticPr fontId="5" type="noConversion"/>
  </si>
  <si>
    <t>红色记忆宣传区</t>
    <phoneticPr fontId="5" type="noConversion"/>
  </si>
  <si>
    <t>VR大空间</t>
    <phoneticPr fontId="5" type="noConversion"/>
  </si>
  <si>
    <t>茶屋氧吧</t>
    <phoneticPr fontId="5" type="noConversion"/>
  </si>
  <si>
    <t>山洞酒庄</t>
    <phoneticPr fontId="5" type="noConversion"/>
  </si>
  <si>
    <t>迷宫</t>
    <phoneticPr fontId="5" type="noConversion"/>
  </si>
  <si>
    <t>花窖</t>
    <phoneticPr fontId="5" type="noConversion"/>
  </si>
  <si>
    <t>索道房</t>
    <phoneticPr fontId="5" type="noConversion"/>
  </si>
  <si>
    <t>婚礼花园</t>
    <phoneticPr fontId="5" type="noConversion"/>
  </si>
  <si>
    <t>星空露营区</t>
    <phoneticPr fontId="5" type="noConversion"/>
  </si>
  <si>
    <t>林地树屋</t>
    <phoneticPr fontId="5" type="noConversion"/>
  </si>
  <si>
    <t>禅修道苑</t>
    <phoneticPr fontId="5" type="noConversion"/>
  </si>
  <si>
    <t>雪地冰屋</t>
    <phoneticPr fontId="5" type="noConversion"/>
  </si>
  <si>
    <t>悬崖咖啡</t>
    <phoneticPr fontId="5" type="noConversion"/>
  </si>
  <si>
    <t>林间小品</t>
    <phoneticPr fontId="5" type="noConversion"/>
  </si>
  <si>
    <t>产权房屋一揽表</t>
    <phoneticPr fontId="5" type="noConversion"/>
  </si>
  <si>
    <t>合计</t>
    <phoneticPr fontId="5" type="noConversion"/>
  </si>
  <si>
    <t>项</t>
    <phoneticPr fontId="5" type="noConversion"/>
  </si>
  <si>
    <t>大门及5处亭子银丝古建改造</t>
    <phoneticPr fontId="5" type="noConversion"/>
  </si>
  <si>
    <t>1.9.1</t>
    <phoneticPr fontId="5" type="noConversion"/>
  </si>
  <si>
    <t>1.9.2</t>
    <phoneticPr fontId="5" type="noConversion"/>
  </si>
  <si>
    <t>1.9.3</t>
    <phoneticPr fontId="5" type="noConversion"/>
  </si>
  <si>
    <t>1.9.4</t>
    <phoneticPr fontId="5" type="noConversion"/>
  </si>
  <si>
    <t>1.9.5</t>
    <phoneticPr fontId="5" type="noConversion"/>
  </si>
  <si>
    <t>1.9.6</t>
    <phoneticPr fontId="5" type="noConversion"/>
  </si>
  <si>
    <t>1.9.7</t>
    <phoneticPr fontId="5" type="noConversion"/>
  </si>
  <si>
    <t>1.9.8</t>
    <phoneticPr fontId="5" type="noConversion"/>
  </si>
  <si>
    <t>1.9.9</t>
    <phoneticPr fontId="5" type="noConversion"/>
  </si>
  <si>
    <t>1.9.10</t>
    <phoneticPr fontId="5" type="noConversion"/>
  </si>
  <si>
    <t>花海</t>
    <phoneticPr fontId="5" type="noConversion"/>
  </si>
  <si>
    <t>防空洞</t>
    <phoneticPr fontId="5" type="noConversion"/>
  </si>
  <si>
    <t>1.1.9</t>
    <phoneticPr fontId="5" type="noConversion"/>
  </si>
  <si>
    <t>许愿树</t>
    <phoneticPr fontId="5" type="noConversion"/>
  </si>
  <si>
    <t>不可预见费用《（一） +（二）》*5%</t>
    <phoneticPr fontId="5" type="noConversion"/>
  </si>
  <si>
    <t>建设期暂定二年只偿还利息，总投资80%为贷款利率暂按4.8%计，</t>
    <phoneticPr fontId="5" type="noConversion"/>
  </si>
  <si>
    <t>人流预估</t>
    <phoneticPr fontId="5" type="noConversion"/>
  </si>
  <si>
    <t>3年</t>
    <phoneticPr fontId="5" type="noConversion"/>
  </si>
  <si>
    <t>1年</t>
    <phoneticPr fontId="5" type="noConversion"/>
  </si>
  <si>
    <t>2年</t>
    <phoneticPr fontId="5" type="noConversion"/>
  </si>
  <si>
    <t>消费转化率</t>
    <phoneticPr fontId="5" type="noConversion"/>
  </si>
  <si>
    <t>客单价（元）</t>
    <phoneticPr fontId="5" type="noConversion"/>
  </si>
  <si>
    <t>经营收入预估模型</t>
    <phoneticPr fontId="5" type="noConversion"/>
  </si>
  <si>
    <t>面积</t>
    <phoneticPr fontId="5" type="noConversion"/>
  </si>
  <si>
    <t>项目</t>
    <phoneticPr fontId="5" type="noConversion"/>
  </si>
  <si>
    <t>经营性质</t>
    <phoneticPr fontId="5" type="noConversion"/>
  </si>
  <si>
    <t>超级乐园</t>
    <phoneticPr fontId="5" type="noConversion"/>
  </si>
  <si>
    <t>玉皇山大马戏</t>
    <phoneticPr fontId="5" type="noConversion"/>
  </si>
  <si>
    <t>联营</t>
    <phoneticPr fontId="5" type="noConversion"/>
  </si>
  <si>
    <t>自营</t>
    <phoneticPr fontId="5" type="noConversion"/>
  </si>
  <si>
    <t>动物萌宠互动</t>
    <phoneticPr fontId="5" type="noConversion"/>
  </si>
  <si>
    <t>收入（万元）</t>
    <phoneticPr fontId="5" type="noConversion"/>
  </si>
  <si>
    <t>土特产伴手礼售卖</t>
    <phoneticPr fontId="5" type="noConversion"/>
  </si>
  <si>
    <t>预估经营收入</t>
    <phoneticPr fontId="5" type="noConversion"/>
  </si>
  <si>
    <t>湖畔影院</t>
    <phoneticPr fontId="5" type="noConversion"/>
  </si>
  <si>
    <t>首年分布</t>
    <phoneticPr fontId="5" type="noConversion"/>
  </si>
  <si>
    <t>青年街区</t>
    <phoneticPr fontId="5" type="noConversion"/>
  </si>
  <si>
    <t>健身区提升</t>
    <phoneticPr fontId="5" type="noConversion"/>
  </si>
  <si>
    <t>茶屋氧吧</t>
    <phoneticPr fontId="5" type="noConversion"/>
  </si>
  <si>
    <t>庙会/市集</t>
    <phoneticPr fontId="5" type="noConversion"/>
  </si>
  <si>
    <t>婚礼花园</t>
    <phoneticPr fontId="5" type="noConversion"/>
  </si>
  <si>
    <t>雪地冰屋</t>
    <phoneticPr fontId="5" type="noConversion"/>
  </si>
  <si>
    <t>禅修道苑</t>
    <phoneticPr fontId="5" type="noConversion"/>
  </si>
  <si>
    <t>悬崖咖啡</t>
    <phoneticPr fontId="5" type="noConversion"/>
  </si>
  <si>
    <t>许愿祈福</t>
    <phoneticPr fontId="5" type="noConversion"/>
  </si>
  <si>
    <t>素食餐厅</t>
    <phoneticPr fontId="5" type="noConversion"/>
  </si>
  <si>
    <t>人流转化目标模型</t>
    <phoneticPr fontId="5" type="noConversion"/>
  </si>
  <si>
    <t>树屋等杂项</t>
    <phoneticPr fontId="5" type="noConversion"/>
  </si>
  <si>
    <t>2年收入</t>
    <phoneticPr fontId="5" type="noConversion"/>
  </si>
  <si>
    <t>3年自然增长率%</t>
    <phoneticPr fontId="5" type="noConversion"/>
  </si>
  <si>
    <t>园区交通</t>
    <phoneticPr fontId="5" type="noConversion"/>
  </si>
  <si>
    <t>森林剧场</t>
    <phoneticPr fontId="5" type="noConversion"/>
  </si>
  <si>
    <t>交叉印证模块</t>
    <phoneticPr fontId="5" type="noConversion"/>
  </si>
  <si>
    <t>3年收入</t>
    <phoneticPr fontId="5" type="noConversion"/>
  </si>
  <si>
    <t>人流增长率</t>
    <phoneticPr fontId="5" type="noConversion"/>
  </si>
  <si>
    <t>经营自然增长叠加客流增长收入预测</t>
    <phoneticPr fontId="5" type="noConversion"/>
  </si>
  <si>
    <t>*经营自然增长第四年按持平预测</t>
    <phoneticPr fontId="5" type="noConversion"/>
  </si>
  <si>
    <t>第一年</t>
    <phoneticPr fontId="5" type="noConversion"/>
  </si>
  <si>
    <t>第二年</t>
    <phoneticPr fontId="5" type="noConversion"/>
  </si>
  <si>
    <t>第三年</t>
    <phoneticPr fontId="5" type="noConversion"/>
  </si>
  <si>
    <t>4-18年均值</t>
    <phoneticPr fontId="5" type="noConversion"/>
  </si>
  <si>
    <t>4~18年保底值</t>
    <phoneticPr fontId="5" type="noConversion"/>
  </si>
  <si>
    <t>复合增长率</t>
    <phoneticPr fontId="5" type="noConversion"/>
  </si>
  <si>
    <t>复合营收预估</t>
    <phoneticPr fontId="5" type="noConversion"/>
  </si>
  <si>
    <t>基础设施建设/设备</t>
    <phoneticPr fontId="5" type="noConversion"/>
  </si>
  <si>
    <t>1.1.10</t>
    <phoneticPr fontId="5" type="noConversion"/>
  </si>
  <si>
    <t>观光车购买</t>
    <phoneticPr fontId="5" type="noConversion"/>
  </si>
  <si>
    <t>辆</t>
    <phoneticPr fontId="5" type="noConversion"/>
  </si>
  <si>
    <t>出租</t>
    <phoneticPr fontId="5" type="noConversion"/>
  </si>
  <si>
    <t>联营</t>
    <phoneticPr fontId="5" type="noConversion"/>
  </si>
  <si>
    <t>自营</t>
    <phoneticPr fontId="5" type="noConversion"/>
  </si>
  <si>
    <t>单价</t>
    <phoneticPr fontId="5" type="noConversion"/>
  </si>
  <si>
    <t>人员配备</t>
    <phoneticPr fontId="5" type="noConversion"/>
  </si>
  <si>
    <t>品牌加盟</t>
    <phoneticPr fontId="5" type="noConversion"/>
  </si>
  <si>
    <t>消费客流</t>
    <phoneticPr fontId="5" type="noConversion"/>
  </si>
  <si>
    <t>联营分成比例</t>
    <phoneticPr fontId="5" type="noConversion"/>
  </si>
  <si>
    <t>自营利润</t>
    <phoneticPr fontId="5" type="noConversion"/>
  </si>
  <si>
    <t>见附表</t>
    <phoneticPr fontId="5" type="noConversion"/>
  </si>
  <si>
    <t>租金年度浮动</t>
    <phoneticPr fontId="5" type="noConversion"/>
  </si>
  <si>
    <t>场地出租</t>
    <phoneticPr fontId="5" type="noConversion"/>
  </si>
  <si>
    <t>场地费</t>
    <phoneticPr fontId="5" type="noConversion"/>
  </si>
  <si>
    <t>1.1.11</t>
    <phoneticPr fontId="5" type="noConversion"/>
  </si>
  <si>
    <t>公园旅拍</t>
    <phoneticPr fontId="5" type="noConversion"/>
  </si>
  <si>
    <t>联营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</si>
</sst>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 "/>
    <numFmt numFmtId="177" formatCode="_ * #,##0_ ;_ * \-#,##0_ ;_ * &quot;-&quot;??_ ;_ @_ "/>
    <numFmt numFmtId="178" formatCode="0.0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 tint="0.14999847407452621"/>
      <name val="等线"/>
      <charset val="134"/>
      <scheme val="minor"/>
    </font>
    <font>
      <b/>
      <sz val="16"/>
      <color theme="1" tint="0.14999847407452621"/>
      <name val="等线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6FC"/>
      </patternFill>
    </fill>
    <fill>
      <patternFill patternType="solid">
        <fgColor rgb="FFFCE4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/>
    <xf numFmtId="9" fontId="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177" fontId="3" fillId="4" borderId="1" xfId="1" applyNumberFormat="1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4" borderId="8" xfId="2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left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5" borderId="8" xfId="2" applyFont="1" applyFill="1" applyBorder="1" applyAlignment="1">
      <alignment horizontal="left" vertical="center" wrapText="1"/>
    </xf>
    <xf numFmtId="0" fontId="11" fillId="5" borderId="8" xfId="2" applyFont="1" applyFill="1" applyBorder="1" applyAlignment="1">
      <alignment horizontal="center" vertical="center" wrapText="1"/>
    </xf>
    <xf numFmtId="0" fontId="11" fillId="6" borderId="8" xfId="2" applyFont="1" applyFill="1" applyBorder="1" applyAlignment="1">
      <alignment horizontal="left" vertical="center" wrapText="1"/>
    </xf>
    <xf numFmtId="0" fontId="11" fillId="6" borderId="8" xfId="2" applyFont="1" applyFill="1" applyBorder="1" applyAlignment="1">
      <alignment horizontal="center" vertical="center" wrapText="1"/>
    </xf>
    <xf numFmtId="0" fontId="11" fillId="4" borderId="8" xfId="2" applyFont="1" applyFill="1" applyBorder="1" applyAlignment="1">
      <alignment horizontal="left" vertical="center" wrapText="1"/>
    </xf>
    <xf numFmtId="0" fontId="11" fillId="4" borderId="8" xfId="2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8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8" borderId="1" xfId="0" applyFill="1" applyBorder="1">
      <alignment vertical="center"/>
    </xf>
    <xf numFmtId="2" fontId="4" fillId="7" borderId="1" xfId="0" applyNumberFormat="1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9" fontId="0" fillId="0" borderId="0" xfId="0" applyNumberFormat="1">
      <alignment vertical="center"/>
    </xf>
    <xf numFmtId="9" fontId="0" fillId="0" borderId="1" xfId="0" applyNumberFormat="1" applyBorder="1">
      <alignment vertical="center"/>
    </xf>
    <xf numFmtId="177" fontId="0" fillId="0" borderId="1" xfId="1" applyNumberFormat="1" applyFont="1" applyBorder="1">
      <alignment vertical="center"/>
    </xf>
    <xf numFmtId="1" fontId="0" fillId="0" borderId="1" xfId="0" applyNumberFormat="1" applyBorder="1">
      <alignment vertical="center"/>
    </xf>
    <xf numFmtId="9" fontId="0" fillId="0" borderId="1" xfId="3" applyFont="1" applyBorder="1">
      <alignment vertical="center"/>
    </xf>
    <xf numFmtId="0" fontId="6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" fontId="15" fillId="13" borderId="1" xfId="0" applyNumberFormat="1" applyFont="1" applyFill="1" applyBorder="1" applyAlignment="1">
      <alignment horizontal="center" vertical="center"/>
    </xf>
    <xf numFmtId="178" fontId="15" fillId="13" borderId="1" xfId="0" applyNumberFormat="1" applyFont="1" applyFill="1" applyBorder="1">
      <alignment vertical="center"/>
    </xf>
    <xf numFmtId="1" fontId="0" fillId="0" borderId="0" xfId="0" applyNumberFormat="1">
      <alignment vertical="center"/>
    </xf>
    <xf numFmtId="0" fontId="0" fillId="11" borderId="0" xfId="0" applyFill="1" applyAlignment="1">
      <alignment horizontal="center"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1" fillId="0" borderId="0" xfId="2"/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4">
    <cellStyle name="百分比" xfId="3" builtinId="5"/>
    <cellStyle name="常规" xfId="0" builtinId="0"/>
    <cellStyle name="常规 2" xfId="2" xr:uid="{739BD7B8-6AFC-4309-BBCA-53814B2176E7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48D7-DA33-416B-A889-B447522A0145}">
  <dimension ref="B4:F9"/>
  <sheetViews>
    <sheetView workbookViewId="0">
      <selection activeCell="F21" sqref="F21"/>
    </sheetView>
  </sheetViews>
  <sheetFormatPr defaultRowHeight="14.25"/>
  <cols>
    <col min="3" max="3" width="17.125" customWidth="1"/>
    <col min="5" max="5" width="11.375" bestFit="1" customWidth="1"/>
    <col min="6" max="6" width="13.875" customWidth="1"/>
  </cols>
  <sheetData>
    <row r="4" spans="2:6" ht="18">
      <c r="B4" s="18" t="s">
        <v>103</v>
      </c>
      <c r="C4" s="18" t="s">
        <v>106</v>
      </c>
      <c r="D4" s="18" t="s">
        <v>99</v>
      </c>
      <c r="E4" s="18" t="s">
        <v>92</v>
      </c>
      <c r="F4" s="14"/>
    </row>
    <row r="5" spans="2:6">
      <c r="B5" s="60" t="s">
        <v>96</v>
      </c>
      <c r="C5" s="4" t="s">
        <v>104</v>
      </c>
      <c r="D5" s="4" t="s">
        <v>100</v>
      </c>
      <c r="E5" s="15">
        <v>45863</v>
      </c>
    </row>
    <row r="6" spans="2:6">
      <c r="B6" s="60"/>
      <c r="C6" s="4" t="s">
        <v>98</v>
      </c>
      <c r="D6" s="4" t="s">
        <v>100</v>
      </c>
      <c r="E6" s="15">
        <v>505011</v>
      </c>
    </row>
    <row r="7" spans="2:6">
      <c r="B7" s="67" t="s">
        <v>105</v>
      </c>
      <c r="C7" s="67"/>
      <c r="D7" s="16"/>
      <c r="E7" s="17">
        <f>SUM(E5:E6)</f>
        <v>550874</v>
      </c>
    </row>
    <row r="8" spans="2:6">
      <c r="B8" s="4" t="s">
        <v>97</v>
      </c>
      <c r="C8" s="4" t="s">
        <v>97</v>
      </c>
      <c r="D8" s="4" t="s">
        <v>101</v>
      </c>
      <c r="E8" s="15">
        <v>2179.9699999999998</v>
      </c>
    </row>
    <row r="9" spans="2:6">
      <c r="B9" s="68" t="s">
        <v>105</v>
      </c>
      <c r="C9" s="69"/>
      <c r="D9" s="16"/>
      <c r="E9" s="19">
        <v>2179.9699999999998</v>
      </c>
    </row>
  </sheetData>
  <mergeCells count="3">
    <mergeCell ref="B7:C7"/>
    <mergeCell ref="B5:B6"/>
    <mergeCell ref="B9:C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EEBC-F271-4179-AF35-D7CBA7EBD4CB}">
  <dimension ref="B3:F15"/>
  <sheetViews>
    <sheetView workbookViewId="0">
      <selection activeCell="B3" sqref="B3:F3"/>
    </sheetView>
  </sheetViews>
  <sheetFormatPr defaultRowHeight="14.25"/>
  <sheetData>
    <row r="3" spans="2:6" ht="32.25" customHeight="1">
      <c r="B3" s="70" t="s">
        <v>259</v>
      </c>
      <c r="C3" s="70"/>
      <c r="D3" s="70"/>
      <c r="E3" s="70"/>
      <c r="F3" s="70"/>
    </row>
    <row r="4" spans="2:6" ht="28.5">
      <c r="B4" s="21" t="s">
        <v>107</v>
      </c>
      <c r="C4" s="21" t="s">
        <v>108</v>
      </c>
      <c r="D4" s="21" t="s">
        <v>109</v>
      </c>
      <c r="E4" s="21" t="s">
        <v>110</v>
      </c>
      <c r="F4" s="21" t="s">
        <v>111</v>
      </c>
    </row>
    <row r="5" spans="2:6" ht="28.5">
      <c r="B5" s="40" t="s">
        <v>112</v>
      </c>
      <c r="C5" s="41" t="s">
        <v>113</v>
      </c>
      <c r="D5" s="41">
        <v>666.13</v>
      </c>
      <c r="E5" s="42" t="s">
        <v>114</v>
      </c>
      <c r="F5" s="41" t="s">
        <v>115</v>
      </c>
    </row>
    <row r="6" spans="2:6" ht="28.5">
      <c r="B6" s="40" t="s">
        <v>116</v>
      </c>
      <c r="C6" s="41" t="s">
        <v>117</v>
      </c>
      <c r="D6" s="41">
        <v>11.34</v>
      </c>
      <c r="E6" s="42">
        <v>1</v>
      </c>
      <c r="F6" s="41" t="s">
        <v>115</v>
      </c>
    </row>
    <row r="7" spans="2:6" ht="28.5">
      <c r="B7" s="40" t="s">
        <v>118</v>
      </c>
      <c r="C7" s="41" t="s">
        <v>119</v>
      </c>
      <c r="D7" s="41">
        <v>272.08</v>
      </c>
      <c r="E7" s="42">
        <v>1</v>
      </c>
      <c r="F7" s="41" t="s">
        <v>115</v>
      </c>
    </row>
    <row r="8" spans="2:6" ht="28.5">
      <c r="B8" s="40" t="s">
        <v>120</v>
      </c>
      <c r="C8" s="41" t="s">
        <v>121</v>
      </c>
      <c r="D8" s="41">
        <v>73.7</v>
      </c>
      <c r="E8" s="42" t="s">
        <v>114</v>
      </c>
      <c r="F8" s="41" t="s">
        <v>115</v>
      </c>
    </row>
    <row r="9" spans="2:6" ht="28.5">
      <c r="B9" s="40" t="s">
        <v>122</v>
      </c>
      <c r="C9" s="41" t="s">
        <v>123</v>
      </c>
      <c r="D9" s="41">
        <v>236.02</v>
      </c>
      <c r="E9" s="42">
        <v>1</v>
      </c>
      <c r="F9" s="41" t="s">
        <v>115</v>
      </c>
    </row>
    <row r="10" spans="2:6" ht="28.5">
      <c r="B10" s="40" t="s">
        <v>124</v>
      </c>
      <c r="C10" s="41" t="s">
        <v>125</v>
      </c>
      <c r="D10" s="41">
        <v>920.7</v>
      </c>
      <c r="E10" s="42" t="s">
        <v>114</v>
      </c>
      <c r="F10" s="41" t="s">
        <v>115</v>
      </c>
    </row>
    <row r="11" spans="2:6" ht="27.75" customHeight="1">
      <c r="B11" s="43" t="s">
        <v>127</v>
      </c>
      <c r="C11" s="44"/>
      <c r="D11" s="20">
        <f>SUM(D5:D10)</f>
        <v>2179.9700000000003</v>
      </c>
      <c r="E11" s="44"/>
      <c r="F11" s="44"/>
    </row>
    <row r="13" spans="2:6">
      <c r="B13" t="s">
        <v>231</v>
      </c>
    </row>
    <row r="14" spans="2:6">
      <c r="B14" t="s">
        <v>233</v>
      </c>
    </row>
    <row r="15" spans="2:6">
      <c r="B15" t="s">
        <v>232</v>
      </c>
    </row>
  </sheetData>
  <mergeCells count="1">
    <mergeCell ref="B3:F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CE7E-132C-42ED-B2CA-22EE89AD36E6}">
  <dimension ref="B2:K18"/>
  <sheetViews>
    <sheetView workbookViewId="0">
      <selection activeCell="G30" sqref="G30"/>
    </sheetView>
  </sheetViews>
  <sheetFormatPr defaultRowHeight="14.25"/>
  <cols>
    <col min="10" max="10" width="16.5" customWidth="1"/>
    <col min="11" max="11" width="17.5" customWidth="1"/>
  </cols>
  <sheetData>
    <row r="2" spans="2:11" ht="12.75" customHeight="1"/>
    <row r="3" spans="2:11" ht="28.5" customHeight="1">
      <c r="B3" s="71" t="s">
        <v>128</v>
      </c>
      <c r="C3" s="72"/>
      <c r="D3" s="72"/>
      <c r="E3" s="72"/>
      <c r="F3" s="72"/>
      <c r="G3" s="72"/>
      <c r="H3" s="72"/>
      <c r="I3" s="72"/>
      <c r="J3" s="72"/>
      <c r="K3" s="72"/>
    </row>
    <row r="4" spans="2:11" ht="49.5">
      <c r="B4" s="22" t="s">
        <v>1</v>
      </c>
      <c r="C4" s="22" t="s">
        <v>102</v>
      </c>
      <c r="D4" s="22" t="s">
        <v>129</v>
      </c>
      <c r="E4" s="22" t="s">
        <v>130</v>
      </c>
      <c r="F4" s="22" t="s">
        <v>131</v>
      </c>
      <c r="G4" s="22" t="s">
        <v>132</v>
      </c>
      <c r="H4" s="22" t="s">
        <v>133</v>
      </c>
      <c r="I4" s="22" t="s">
        <v>134</v>
      </c>
      <c r="J4" s="22" t="s">
        <v>135</v>
      </c>
      <c r="K4" s="22" t="s">
        <v>136</v>
      </c>
    </row>
    <row r="5" spans="2:11" ht="16.5">
      <c r="B5" s="23">
        <v>1</v>
      </c>
      <c r="C5" s="24" t="s">
        <v>137</v>
      </c>
      <c r="D5" s="24" t="s">
        <v>138</v>
      </c>
      <c r="E5" s="24">
        <v>4</v>
      </c>
      <c r="F5" s="24" t="s">
        <v>139</v>
      </c>
      <c r="G5" s="24" t="s">
        <v>140</v>
      </c>
      <c r="H5" s="24" t="s">
        <v>141</v>
      </c>
      <c r="I5" s="24" t="s">
        <v>142</v>
      </c>
      <c r="J5" s="24" t="s">
        <v>143</v>
      </c>
      <c r="K5" s="24" t="s">
        <v>144</v>
      </c>
    </row>
    <row r="6" spans="2:11" ht="33">
      <c r="B6" s="25">
        <v>2</v>
      </c>
      <c r="C6" s="26" t="s">
        <v>137</v>
      </c>
      <c r="D6" s="26" t="s">
        <v>145</v>
      </c>
      <c r="E6" s="26">
        <v>2</v>
      </c>
      <c r="F6" s="26" t="s">
        <v>146</v>
      </c>
      <c r="G6" s="26" t="s">
        <v>140</v>
      </c>
      <c r="H6" s="26" t="s">
        <v>141</v>
      </c>
      <c r="I6" s="26" t="s">
        <v>147</v>
      </c>
      <c r="J6" s="26" t="s">
        <v>148</v>
      </c>
      <c r="K6" s="26" t="s">
        <v>149</v>
      </c>
    </row>
    <row r="7" spans="2:11" ht="33">
      <c r="B7" s="23">
        <v>3</v>
      </c>
      <c r="C7" s="24" t="s">
        <v>137</v>
      </c>
      <c r="D7" s="24" t="s">
        <v>150</v>
      </c>
      <c r="E7" s="24">
        <v>2</v>
      </c>
      <c r="F7" s="24" t="s">
        <v>151</v>
      </c>
      <c r="G7" s="24" t="s">
        <v>152</v>
      </c>
      <c r="H7" s="24" t="s">
        <v>153</v>
      </c>
      <c r="I7" s="24" t="s">
        <v>147</v>
      </c>
      <c r="J7" s="24" t="s">
        <v>154</v>
      </c>
      <c r="K7" s="24" t="s">
        <v>155</v>
      </c>
    </row>
    <row r="8" spans="2:11" ht="16.5">
      <c r="B8" s="25">
        <v>4</v>
      </c>
      <c r="C8" s="26" t="s">
        <v>137</v>
      </c>
      <c r="D8" s="26" t="s">
        <v>156</v>
      </c>
      <c r="E8" s="26">
        <v>2</v>
      </c>
      <c r="F8" s="26" t="s">
        <v>157</v>
      </c>
      <c r="G8" s="26" t="s">
        <v>158</v>
      </c>
      <c r="H8" s="26" t="s">
        <v>141</v>
      </c>
      <c r="I8" s="26" t="s">
        <v>147</v>
      </c>
      <c r="J8" s="26" t="s">
        <v>159</v>
      </c>
      <c r="K8" s="26" t="s">
        <v>160</v>
      </c>
    </row>
    <row r="9" spans="2:11" ht="16.5">
      <c r="B9" s="23">
        <v>5</v>
      </c>
      <c r="C9" s="24" t="s">
        <v>137</v>
      </c>
      <c r="D9" s="24" t="s">
        <v>161</v>
      </c>
      <c r="E9" s="24">
        <v>1</v>
      </c>
      <c r="F9" s="24" t="s">
        <v>162</v>
      </c>
      <c r="G9" s="24" t="s">
        <v>140</v>
      </c>
      <c r="H9" s="24" t="s">
        <v>163</v>
      </c>
      <c r="I9" s="24" t="s">
        <v>164</v>
      </c>
      <c r="J9" s="24" t="s">
        <v>165</v>
      </c>
      <c r="K9" s="24"/>
    </row>
    <row r="10" spans="2:11" ht="16.5">
      <c r="B10" s="25">
        <v>6</v>
      </c>
      <c r="C10" s="26" t="s">
        <v>166</v>
      </c>
      <c r="D10" s="26" t="s">
        <v>167</v>
      </c>
      <c r="E10" s="26">
        <v>3</v>
      </c>
      <c r="F10" s="26" t="s">
        <v>168</v>
      </c>
      <c r="G10" s="26" t="s">
        <v>169</v>
      </c>
      <c r="H10" s="26" t="s">
        <v>170</v>
      </c>
      <c r="I10" s="26" t="s">
        <v>142</v>
      </c>
      <c r="J10" s="26" t="s">
        <v>171</v>
      </c>
      <c r="K10" s="26" t="s">
        <v>172</v>
      </c>
    </row>
    <row r="11" spans="2:11" ht="33">
      <c r="B11" s="23">
        <v>7</v>
      </c>
      <c r="C11" s="24" t="s">
        <v>173</v>
      </c>
      <c r="D11" s="24" t="s">
        <v>174</v>
      </c>
      <c r="E11" s="24">
        <v>2</v>
      </c>
      <c r="F11" s="24" t="s">
        <v>146</v>
      </c>
      <c r="G11" s="24" t="s">
        <v>175</v>
      </c>
      <c r="H11" s="24" t="s">
        <v>176</v>
      </c>
      <c r="I11" s="24" t="s">
        <v>177</v>
      </c>
      <c r="J11" s="24" t="s">
        <v>178</v>
      </c>
      <c r="K11" s="24" t="s">
        <v>179</v>
      </c>
    </row>
    <row r="12" spans="2:11" ht="16.5">
      <c r="B12" s="27">
        <v>8</v>
      </c>
      <c r="C12" s="28" t="s">
        <v>180</v>
      </c>
      <c r="D12" s="28" t="s">
        <v>181</v>
      </c>
      <c r="E12" s="28">
        <v>1</v>
      </c>
      <c r="F12" s="28" t="s">
        <v>162</v>
      </c>
      <c r="G12" s="28" t="s">
        <v>182</v>
      </c>
      <c r="H12" s="28" t="s">
        <v>183</v>
      </c>
      <c r="I12" s="28" t="s">
        <v>184</v>
      </c>
      <c r="J12" s="28" t="s">
        <v>147</v>
      </c>
      <c r="K12" s="28" t="s">
        <v>185</v>
      </c>
    </row>
    <row r="13" spans="2:11" ht="33">
      <c r="B13" s="23">
        <v>9</v>
      </c>
      <c r="C13" s="24" t="s">
        <v>186</v>
      </c>
      <c r="D13" s="24" t="s">
        <v>187</v>
      </c>
      <c r="E13" s="24">
        <v>7</v>
      </c>
      <c r="F13" s="24" t="s">
        <v>188</v>
      </c>
      <c r="G13" s="24" t="s">
        <v>140</v>
      </c>
      <c r="H13" s="24" t="s">
        <v>141</v>
      </c>
      <c r="I13" s="24" t="s">
        <v>147</v>
      </c>
      <c r="J13" s="24" t="s">
        <v>189</v>
      </c>
      <c r="K13" s="24" t="s">
        <v>190</v>
      </c>
    </row>
    <row r="14" spans="2:11" ht="16.5">
      <c r="B14" s="27">
        <v>10</v>
      </c>
      <c r="C14" s="28" t="s">
        <v>186</v>
      </c>
      <c r="D14" s="28" t="s">
        <v>191</v>
      </c>
      <c r="E14" s="28">
        <v>1</v>
      </c>
      <c r="F14" s="28" t="s">
        <v>162</v>
      </c>
      <c r="G14" s="28" t="s">
        <v>140</v>
      </c>
      <c r="H14" s="28" t="s">
        <v>141</v>
      </c>
      <c r="I14" s="28" t="s">
        <v>192</v>
      </c>
      <c r="J14" s="28" t="s">
        <v>147</v>
      </c>
      <c r="K14" s="28"/>
    </row>
    <row r="15" spans="2:11" ht="16.5">
      <c r="B15" s="23">
        <v>11</v>
      </c>
      <c r="C15" s="24" t="s">
        <v>186</v>
      </c>
      <c r="D15" s="24" t="s">
        <v>193</v>
      </c>
      <c r="E15" s="24">
        <v>1</v>
      </c>
      <c r="F15" s="24" t="s">
        <v>162</v>
      </c>
      <c r="G15" s="24" t="s">
        <v>140</v>
      </c>
      <c r="H15" s="24" t="s">
        <v>194</v>
      </c>
      <c r="I15" s="24" t="s">
        <v>147</v>
      </c>
      <c r="J15" s="24" t="s">
        <v>147</v>
      </c>
      <c r="K15" s="24"/>
    </row>
    <row r="16" spans="2:11" ht="16.5">
      <c r="B16" s="25">
        <v>12</v>
      </c>
      <c r="C16" s="26" t="s">
        <v>186</v>
      </c>
      <c r="D16" s="26" t="s">
        <v>195</v>
      </c>
      <c r="E16" s="26">
        <v>1</v>
      </c>
      <c r="F16" s="26" t="s">
        <v>196</v>
      </c>
      <c r="G16" s="26" t="s">
        <v>140</v>
      </c>
      <c r="H16" s="26" t="s">
        <v>197</v>
      </c>
      <c r="I16" s="26" t="s">
        <v>142</v>
      </c>
      <c r="J16" s="26" t="s">
        <v>147</v>
      </c>
      <c r="K16" s="26" t="s">
        <v>198</v>
      </c>
    </row>
    <row r="17" spans="2:11" ht="33">
      <c r="B17" s="23">
        <v>13</v>
      </c>
      <c r="C17" s="24" t="s">
        <v>186</v>
      </c>
      <c r="D17" s="24" t="s">
        <v>199</v>
      </c>
      <c r="E17" s="24">
        <v>28</v>
      </c>
      <c r="F17" s="24" t="s">
        <v>200</v>
      </c>
      <c r="G17" s="24" t="s">
        <v>140</v>
      </c>
      <c r="H17" s="24" t="s">
        <v>163</v>
      </c>
      <c r="I17" s="24" t="s">
        <v>147</v>
      </c>
      <c r="J17" s="24" t="s">
        <v>147</v>
      </c>
      <c r="K17" s="24" t="s">
        <v>201</v>
      </c>
    </row>
    <row r="18" spans="2:11" ht="49.5">
      <c r="B18" s="29"/>
      <c r="C18" s="30" t="s">
        <v>126</v>
      </c>
      <c r="D18" s="30"/>
      <c r="E18" s="30">
        <v>55</v>
      </c>
      <c r="F18" s="30" t="s">
        <v>202</v>
      </c>
      <c r="G18" s="30"/>
      <c r="H18" s="30"/>
      <c r="I18" s="30"/>
      <c r="J18" s="30"/>
      <c r="K18" s="30" t="s">
        <v>203</v>
      </c>
    </row>
  </sheetData>
  <mergeCells count="1">
    <mergeCell ref="B3:K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CB58-73BC-4F73-B2BE-E446ED397842}">
  <dimension ref="B2:E13"/>
  <sheetViews>
    <sheetView workbookViewId="0">
      <selection activeCell="C18" sqref="C18"/>
    </sheetView>
  </sheetViews>
  <sheetFormatPr defaultRowHeight="14.25"/>
  <sheetData>
    <row r="2" spans="2:5" ht="18">
      <c r="B2" s="33"/>
      <c r="C2" s="33" t="s">
        <v>212</v>
      </c>
      <c r="D2" s="33" t="s">
        <v>92</v>
      </c>
      <c r="E2" s="33" t="s">
        <v>210</v>
      </c>
    </row>
    <row r="3" spans="2:5">
      <c r="B3" t="s">
        <v>205</v>
      </c>
      <c r="D3" s="13">
        <v>140</v>
      </c>
      <c r="E3" s="73" t="s">
        <v>211</v>
      </c>
    </row>
    <row r="4" spans="2:5">
      <c r="B4" t="s">
        <v>206</v>
      </c>
      <c r="D4" s="13">
        <v>94</v>
      </c>
      <c r="E4" s="73"/>
    </row>
    <row r="5" spans="2:5">
      <c r="B5" t="s">
        <v>207</v>
      </c>
      <c r="D5" s="13">
        <v>87</v>
      </c>
      <c r="E5" s="73"/>
    </row>
    <row r="6" spans="2:5">
      <c r="B6" t="s">
        <v>208</v>
      </c>
      <c r="D6" s="13">
        <v>164</v>
      </c>
      <c r="E6" s="73"/>
    </row>
    <row r="7" spans="2:5">
      <c r="B7" t="s">
        <v>209</v>
      </c>
      <c r="D7" s="13">
        <v>202</v>
      </c>
      <c r="E7" s="73"/>
    </row>
    <row r="8" spans="2:5" ht="18">
      <c r="B8" s="32" t="s">
        <v>105</v>
      </c>
      <c r="C8" s="32"/>
      <c r="D8" s="32">
        <f>SUM(D3:D7)</f>
        <v>687</v>
      </c>
      <c r="E8" s="32"/>
    </row>
    <row r="9" spans="2:5">
      <c r="B9" t="s">
        <v>213</v>
      </c>
      <c r="D9" s="13">
        <v>66</v>
      </c>
    </row>
    <row r="10" spans="2:5">
      <c r="B10" t="s">
        <v>214</v>
      </c>
      <c r="D10" s="13">
        <v>83</v>
      </c>
    </row>
    <row r="11" spans="2:5" ht="18">
      <c r="B11" s="33" t="s">
        <v>105</v>
      </c>
      <c r="C11" s="31"/>
      <c r="D11" s="32">
        <f>SUM(D9:D10)</f>
        <v>149</v>
      </c>
      <c r="E11" s="31"/>
    </row>
    <row r="13" spans="2:5">
      <c r="B13" t="s">
        <v>260</v>
      </c>
    </row>
  </sheetData>
  <mergeCells count="1">
    <mergeCell ref="E3:E7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68"/>
  <sheetViews>
    <sheetView topLeftCell="A31" workbookViewId="0">
      <selection activeCell="B2" sqref="B2:H68"/>
    </sheetView>
  </sheetViews>
  <sheetFormatPr defaultColWidth="9" defaultRowHeight="14.25" outlineLevelRow="1"/>
  <cols>
    <col min="2" max="2" width="10.875" customWidth="1"/>
    <col min="3" max="3" width="43.25" customWidth="1"/>
    <col min="4" max="4" width="14.25" customWidth="1"/>
    <col min="5" max="5" width="15.875" customWidth="1"/>
    <col min="6" max="6" width="0.125" customWidth="1"/>
    <col min="7" max="7" width="22.25" customWidth="1"/>
    <col min="8" max="8" width="15.75" customWidth="1"/>
  </cols>
  <sheetData>
    <row r="2" spans="2:8" ht="28.5" customHeight="1">
      <c r="B2" s="83" t="s">
        <v>0</v>
      </c>
      <c r="C2" s="83"/>
      <c r="D2" s="83"/>
      <c r="E2" s="83"/>
      <c r="F2" s="83"/>
      <c r="G2" s="83"/>
      <c r="H2" s="83"/>
    </row>
    <row r="3" spans="2:8" ht="25.5" customHeight="1">
      <c r="B3" s="82" t="s">
        <v>1</v>
      </c>
      <c r="C3" s="82" t="s">
        <v>2</v>
      </c>
      <c r="D3" s="82" t="s">
        <v>3</v>
      </c>
      <c r="E3" s="82" t="s">
        <v>4</v>
      </c>
      <c r="F3" s="82" t="s">
        <v>204</v>
      </c>
      <c r="G3" s="82" t="s">
        <v>5</v>
      </c>
      <c r="H3" s="82" t="s">
        <v>215</v>
      </c>
    </row>
    <row r="4" spans="2:8" ht="25.5" customHeight="1">
      <c r="B4" s="1" t="s">
        <v>6</v>
      </c>
      <c r="C4" s="1" t="s">
        <v>7</v>
      </c>
      <c r="D4" s="1"/>
      <c r="E4" s="1"/>
      <c r="F4" s="1"/>
      <c r="G4" s="34">
        <f>G5+G17+G21+G25+G31+G36+G40+G44+G48</f>
        <v>3455.8</v>
      </c>
      <c r="H4" s="35" t="s">
        <v>215</v>
      </c>
    </row>
    <row r="5" spans="2:8" ht="19.5" customHeight="1">
      <c r="B5" s="2">
        <v>1.1000000000000001</v>
      </c>
      <c r="C5" s="2" t="s">
        <v>327</v>
      </c>
      <c r="D5" s="3"/>
      <c r="E5" s="3"/>
      <c r="F5" s="3"/>
      <c r="G5" s="2">
        <f>SUM(G6:G16)</f>
        <v>663</v>
      </c>
      <c r="H5" s="37"/>
    </row>
    <row r="6" spans="2:8" outlineLevel="1">
      <c r="B6" s="4" t="s">
        <v>8</v>
      </c>
      <c r="C6" s="4" t="s">
        <v>9</v>
      </c>
      <c r="D6" s="4">
        <v>600</v>
      </c>
      <c r="E6" s="4" t="s">
        <v>10</v>
      </c>
      <c r="F6" s="4">
        <v>300</v>
      </c>
      <c r="G6" s="4">
        <f>D6*F6/10000</f>
        <v>18</v>
      </c>
      <c r="H6" s="15" t="s">
        <v>217</v>
      </c>
    </row>
    <row r="7" spans="2:8" outlineLevel="1">
      <c r="B7" s="4" t="s">
        <v>11</v>
      </c>
      <c r="C7" s="36" t="s">
        <v>262</v>
      </c>
      <c r="D7" s="4">
        <v>1</v>
      </c>
      <c r="E7" s="4" t="s">
        <v>218</v>
      </c>
      <c r="F7" s="4">
        <v>120000</v>
      </c>
      <c r="G7" s="4">
        <f t="shared" ref="G7:G16" si="0">D7*F7/10000</f>
        <v>12</v>
      </c>
      <c r="H7" s="15"/>
    </row>
    <row r="8" spans="2:8" outlineLevel="1">
      <c r="B8" s="4" t="s">
        <v>12</v>
      </c>
      <c r="C8" s="4" t="s">
        <v>216</v>
      </c>
      <c r="D8" s="4">
        <v>300</v>
      </c>
      <c r="E8" s="4" t="s">
        <v>10</v>
      </c>
      <c r="F8" s="4">
        <v>3500</v>
      </c>
      <c r="G8" s="4">
        <f t="shared" si="0"/>
        <v>105</v>
      </c>
      <c r="H8" s="15"/>
    </row>
    <row r="9" spans="2:8" outlineLevel="1">
      <c r="B9" s="4" t="s">
        <v>15</v>
      </c>
      <c r="C9" s="4" t="s">
        <v>13</v>
      </c>
      <c r="D9" s="4">
        <v>1</v>
      </c>
      <c r="E9" s="4" t="s">
        <v>14</v>
      </c>
      <c r="F9" s="4">
        <v>650000</v>
      </c>
      <c r="G9" s="4">
        <f t="shared" si="0"/>
        <v>65</v>
      </c>
      <c r="H9" s="15"/>
    </row>
    <row r="10" spans="2:8" outlineLevel="1">
      <c r="B10" s="4" t="s">
        <v>17</v>
      </c>
      <c r="C10" s="4" t="s">
        <v>16</v>
      </c>
      <c r="D10" s="4">
        <v>1</v>
      </c>
      <c r="E10" s="4" t="s">
        <v>14</v>
      </c>
      <c r="F10" s="4">
        <v>350000</v>
      </c>
      <c r="G10" s="4">
        <f t="shared" si="0"/>
        <v>35</v>
      </c>
      <c r="H10" s="15"/>
    </row>
    <row r="11" spans="2:8" outlineLevel="1">
      <c r="B11" s="4" t="s">
        <v>18</v>
      </c>
      <c r="C11" s="4" t="s">
        <v>74</v>
      </c>
      <c r="D11" s="4">
        <v>1</v>
      </c>
      <c r="E11" s="4" t="s">
        <v>14</v>
      </c>
      <c r="F11" s="4">
        <v>500000</v>
      </c>
      <c r="G11" s="4">
        <f t="shared" si="0"/>
        <v>50</v>
      </c>
      <c r="H11" s="15"/>
    </row>
    <row r="12" spans="2:8" outlineLevel="1">
      <c r="B12" s="4" t="s">
        <v>20</v>
      </c>
      <c r="C12" s="4" t="s">
        <v>19</v>
      </c>
      <c r="D12" s="4">
        <v>1</v>
      </c>
      <c r="E12" s="4" t="s">
        <v>14</v>
      </c>
      <c r="F12" s="4">
        <v>350000</v>
      </c>
      <c r="G12" s="4">
        <f t="shared" si="0"/>
        <v>35</v>
      </c>
      <c r="H12" s="15"/>
    </row>
    <row r="13" spans="2:8" outlineLevel="1">
      <c r="B13" s="4" t="s">
        <v>220</v>
      </c>
      <c r="C13" s="4" t="s">
        <v>21</v>
      </c>
      <c r="D13" s="4">
        <v>6</v>
      </c>
      <c r="E13" s="4" t="s">
        <v>14</v>
      </c>
      <c r="F13" s="4">
        <v>150000</v>
      </c>
      <c r="G13" s="4">
        <f t="shared" si="0"/>
        <v>90</v>
      </c>
      <c r="H13" s="15"/>
    </row>
    <row r="14" spans="2:8" outlineLevel="1">
      <c r="B14" s="4" t="s">
        <v>275</v>
      </c>
      <c r="C14" s="4" t="s">
        <v>221</v>
      </c>
      <c r="D14" s="4">
        <v>300</v>
      </c>
      <c r="E14" s="4" t="s">
        <v>222</v>
      </c>
      <c r="F14" s="4">
        <v>4500</v>
      </c>
      <c r="G14" s="4">
        <f t="shared" si="0"/>
        <v>135</v>
      </c>
      <c r="H14" s="15" t="s">
        <v>223</v>
      </c>
    </row>
    <row r="15" spans="2:8" outlineLevel="1">
      <c r="B15" s="4" t="s">
        <v>328</v>
      </c>
      <c r="C15" s="4" t="s">
        <v>276</v>
      </c>
      <c r="D15" s="4">
        <v>1</v>
      </c>
      <c r="E15" s="4" t="s">
        <v>261</v>
      </c>
      <c r="F15" s="4">
        <v>300000</v>
      </c>
      <c r="G15" s="4">
        <f t="shared" si="0"/>
        <v>30</v>
      </c>
      <c r="H15" s="15"/>
    </row>
    <row r="16" spans="2:8" outlineLevel="1">
      <c r="B16" s="4" t="s">
        <v>344</v>
      </c>
      <c r="C16" s="4" t="s">
        <v>329</v>
      </c>
      <c r="D16" s="4">
        <v>8</v>
      </c>
      <c r="E16" s="4" t="s">
        <v>330</v>
      </c>
      <c r="F16" s="4">
        <v>110000</v>
      </c>
      <c r="G16" s="4">
        <f t="shared" si="0"/>
        <v>88</v>
      </c>
      <c r="H16" s="15"/>
    </row>
    <row r="17" spans="2:8" ht="19.5" customHeight="1">
      <c r="B17" s="2">
        <v>1.2</v>
      </c>
      <c r="C17" s="2" t="s">
        <v>239</v>
      </c>
      <c r="D17" s="2"/>
      <c r="E17" s="2"/>
      <c r="F17" s="2"/>
      <c r="G17" s="2">
        <f>SUM(G18:G20)</f>
        <v>970</v>
      </c>
      <c r="H17" s="37"/>
    </row>
    <row r="18" spans="2:8" outlineLevel="1">
      <c r="B18" s="4" t="s">
        <v>22</v>
      </c>
      <c r="C18" s="4" t="s">
        <v>238</v>
      </c>
      <c r="D18" s="4">
        <v>1</v>
      </c>
      <c r="E18" s="4" t="s">
        <v>14</v>
      </c>
      <c r="F18" s="4">
        <v>7500000</v>
      </c>
      <c r="G18" s="4">
        <f>D18*F18/10000</f>
        <v>750</v>
      </c>
      <c r="H18" s="15"/>
    </row>
    <row r="19" spans="2:8" outlineLevel="1">
      <c r="B19" s="4" t="s">
        <v>23</v>
      </c>
      <c r="C19" s="4" t="s">
        <v>24</v>
      </c>
      <c r="D19" s="4">
        <v>1</v>
      </c>
      <c r="E19" s="4" t="s">
        <v>14</v>
      </c>
      <c r="F19" s="4">
        <v>600000</v>
      </c>
      <c r="G19" s="4">
        <v>60</v>
      </c>
      <c r="H19" s="15"/>
    </row>
    <row r="20" spans="2:8" outlineLevel="1">
      <c r="B20" s="4" t="s">
        <v>25</v>
      </c>
      <c r="C20" s="4" t="s">
        <v>26</v>
      </c>
      <c r="D20" s="4">
        <v>687</v>
      </c>
      <c r="E20" s="4" t="s">
        <v>10</v>
      </c>
      <c r="F20" s="4">
        <v>2500</v>
      </c>
      <c r="G20" s="4">
        <v>160</v>
      </c>
      <c r="H20" s="15"/>
    </row>
    <row r="21" spans="2:8" ht="19.5" customHeight="1">
      <c r="B21" s="2">
        <v>1.3</v>
      </c>
      <c r="C21" s="2" t="s">
        <v>236</v>
      </c>
      <c r="D21" s="2"/>
      <c r="E21" s="2"/>
      <c r="F21" s="2"/>
      <c r="G21" s="2">
        <f>SUM(G22:G24)</f>
        <v>285</v>
      </c>
      <c r="H21" s="37"/>
    </row>
    <row r="22" spans="2:8" outlineLevel="1">
      <c r="B22" s="4" t="s">
        <v>27</v>
      </c>
      <c r="C22" s="45" t="s">
        <v>240</v>
      </c>
      <c r="D22" s="4">
        <v>500</v>
      </c>
      <c r="E22" s="4" t="s">
        <v>10</v>
      </c>
      <c r="F22" s="4">
        <v>4500</v>
      </c>
      <c r="G22" s="4">
        <f>D22*F22/10000</f>
        <v>225</v>
      </c>
      <c r="H22" s="15"/>
    </row>
    <row r="23" spans="2:8" outlineLevel="1">
      <c r="B23" s="4" t="s">
        <v>28</v>
      </c>
      <c r="C23" s="45" t="s">
        <v>241</v>
      </c>
      <c r="D23" s="4">
        <v>1</v>
      </c>
      <c r="E23" s="4" t="s">
        <v>14</v>
      </c>
      <c r="F23" s="4">
        <v>150000</v>
      </c>
      <c r="G23" s="4">
        <f>D23*F23/10000</f>
        <v>15</v>
      </c>
      <c r="H23" s="15"/>
    </row>
    <row r="24" spans="2:8" outlineLevel="1">
      <c r="B24" s="4" t="s">
        <v>29</v>
      </c>
      <c r="C24" s="45" t="s">
        <v>30</v>
      </c>
      <c r="D24" s="4">
        <v>1</v>
      </c>
      <c r="E24" s="4" t="s">
        <v>14</v>
      </c>
      <c r="F24" s="4">
        <v>450000</v>
      </c>
      <c r="G24" s="4">
        <f>D24*F24/10000</f>
        <v>45</v>
      </c>
      <c r="H24" s="15"/>
    </row>
    <row r="25" spans="2:8" ht="19.5" customHeight="1">
      <c r="B25" s="2">
        <v>1.4</v>
      </c>
      <c r="C25" s="2" t="s">
        <v>31</v>
      </c>
      <c r="D25" s="2"/>
      <c r="E25" s="2"/>
      <c r="F25" s="2"/>
      <c r="G25" s="2">
        <f>SUM(G26:G30)</f>
        <v>125</v>
      </c>
      <c r="H25" s="37"/>
    </row>
    <row r="26" spans="2:8" outlineLevel="1">
      <c r="B26" s="4" t="s">
        <v>32</v>
      </c>
      <c r="C26" s="4" t="s">
        <v>33</v>
      </c>
      <c r="D26" s="4">
        <v>1</v>
      </c>
      <c r="E26" s="4" t="s">
        <v>14</v>
      </c>
      <c r="F26" s="4"/>
      <c r="G26" s="4">
        <v>30</v>
      </c>
      <c r="H26" s="15"/>
    </row>
    <row r="27" spans="2:8" outlineLevel="1">
      <c r="B27" s="4" t="s">
        <v>34</v>
      </c>
      <c r="C27" s="4" t="s">
        <v>35</v>
      </c>
      <c r="D27" s="4">
        <v>5</v>
      </c>
      <c r="E27" s="4" t="s">
        <v>14</v>
      </c>
      <c r="F27" s="4"/>
      <c r="G27" s="4">
        <v>35</v>
      </c>
      <c r="H27" s="15"/>
    </row>
    <row r="28" spans="2:8" outlineLevel="1">
      <c r="B28" s="4" t="s">
        <v>36</v>
      </c>
      <c r="C28" s="4" t="s">
        <v>37</v>
      </c>
      <c r="D28" s="4">
        <v>2</v>
      </c>
      <c r="E28" s="4" t="s">
        <v>14</v>
      </c>
      <c r="F28" s="4"/>
      <c r="G28" s="4">
        <v>35</v>
      </c>
      <c r="H28" s="15"/>
    </row>
    <row r="29" spans="2:8" outlineLevel="1">
      <c r="B29" s="4" t="s">
        <v>38</v>
      </c>
      <c r="C29" s="4" t="s">
        <v>39</v>
      </c>
      <c r="D29" s="4">
        <v>1</v>
      </c>
      <c r="E29" s="4" t="s">
        <v>14</v>
      </c>
      <c r="F29" s="4"/>
      <c r="G29" s="4">
        <v>10</v>
      </c>
      <c r="H29" s="15"/>
    </row>
    <row r="30" spans="2:8" outlineLevel="1">
      <c r="B30" s="4" t="s">
        <v>40</v>
      </c>
      <c r="C30" s="4" t="s">
        <v>41</v>
      </c>
      <c r="D30" s="4">
        <v>1</v>
      </c>
      <c r="E30" s="4" t="s">
        <v>14</v>
      </c>
      <c r="F30" s="4"/>
      <c r="G30" s="4">
        <v>15</v>
      </c>
      <c r="H30" s="15"/>
    </row>
    <row r="31" spans="2:8" ht="21.75" customHeight="1">
      <c r="B31" s="2">
        <v>1.5</v>
      </c>
      <c r="C31" s="2" t="s">
        <v>229</v>
      </c>
      <c r="D31" s="2"/>
      <c r="E31" s="2"/>
      <c r="F31" s="2"/>
      <c r="G31" s="2">
        <f>SUM(G32:G35)</f>
        <v>395</v>
      </c>
      <c r="H31" s="37"/>
    </row>
    <row r="32" spans="2:8" outlineLevel="1">
      <c r="B32" s="4" t="s">
        <v>42</v>
      </c>
      <c r="C32" s="4" t="s">
        <v>219</v>
      </c>
      <c r="D32" s="4">
        <v>1000</v>
      </c>
      <c r="E32" s="4" t="s">
        <v>10</v>
      </c>
      <c r="F32" s="4">
        <v>1500</v>
      </c>
      <c r="G32" s="4">
        <f>D32*F32/10000</f>
        <v>150</v>
      </c>
      <c r="H32" s="15" t="s">
        <v>234</v>
      </c>
    </row>
    <row r="33" spans="2:8" outlineLevel="1">
      <c r="B33" s="4" t="s">
        <v>43</v>
      </c>
      <c r="C33" s="4" t="s">
        <v>235</v>
      </c>
      <c r="D33" s="4">
        <v>1</v>
      </c>
      <c r="E33" s="4" t="s">
        <v>14</v>
      </c>
      <c r="F33" s="4">
        <v>450000</v>
      </c>
      <c r="G33" s="4">
        <f t="shared" ref="G33:G58" si="1">D33*F33/10000</f>
        <v>45</v>
      </c>
      <c r="H33" s="15"/>
    </row>
    <row r="34" spans="2:8" outlineLevel="1">
      <c r="B34" s="4" t="s">
        <v>44</v>
      </c>
      <c r="C34" s="4" t="s">
        <v>230</v>
      </c>
      <c r="D34" s="4">
        <v>500</v>
      </c>
      <c r="E34" s="4" t="s">
        <v>10</v>
      </c>
      <c r="F34" s="4">
        <v>3500</v>
      </c>
      <c r="G34" s="4">
        <f t="shared" si="1"/>
        <v>175</v>
      </c>
      <c r="H34" s="15" t="s">
        <v>242</v>
      </c>
    </row>
    <row r="35" spans="2:8" outlineLevel="1">
      <c r="B35" s="4" t="s">
        <v>45</v>
      </c>
      <c r="C35" s="4" t="s">
        <v>300</v>
      </c>
      <c r="D35" s="4">
        <v>1</v>
      </c>
      <c r="E35" s="4" t="s">
        <v>14</v>
      </c>
      <c r="F35" s="4">
        <v>250000</v>
      </c>
      <c r="G35" s="4">
        <f t="shared" si="1"/>
        <v>25</v>
      </c>
      <c r="H35" s="15"/>
    </row>
    <row r="36" spans="2:8" ht="19.5" customHeight="1">
      <c r="B36" s="2">
        <v>1.6</v>
      </c>
      <c r="C36" s="2" t="s">
        <v>237</v>
      </c>
      <c r="D36" s="2"/>
      <c r="E36" s="2"/>
      <c r="F36" s="2"/>
      <c r="G36" s="2">
        <f>SUM(G37:G39)</f>
        <v>78</v>
      </c>
      <c r="H36" s="37"/>
    </row>
    <row r="37" spans="2:8" outlineLevel="1">
      <c r="B37" s="4" t="s">
        <v>46</v>
      </c>
      <c r="C37" s="4" t="s">
        <v>47</v>
      </c>
      <c r="D37" s="4">
        <v>1</v>
      </c>
      <c r="E37" s="4" t="s">
        <v>14</v>
      </c>
      <c r="F37" s="4">
        <v>250000</v>
      </c>
      <c r="G37" s="4">
        <f t="shared" si="1"/>
        <v>25</v>
      </c>
      <c r="H37" s="15"/>
    </row>
    <row r="38" spans="2:8" outlineLevel="1">
      <c r="B38" s="4" t="s">
        <v>48</v>
      </c>
      <c r="C38" s="4" t="s">
        <v>49</v>
      </c>
      <c r="D38" s="4">
        <v>1</v>
      </c>
      <c r="E38" s="4" t="s">
        <v>14</v>
      </c>
      <c r="F38" s="4">
        <v>80000</v>
      </c>
      <c r="G38" s="4">
        <f t="shared" si="1"/>
        <v>8</v>
      </c>
      <c r="H38" s="15"/>
    </row>
    <row r="39" spans="2:8" outlineLevel="1">
      <c r="B39" s="4" t="s">
        <v>50</v>
      </c>
      <c r="C39" s="4" t="s">
        <v>51</v>
      </c>
      <c r="D39" s="4">
        <v>1</v>
      </c>
      <c r="E39" s="4" t="s">
        <v>14</v>
      </c>
      <c r="F39" s="4">
        <v>450000</v>
      </c>
      <c r="G39" s="4">
        <f t="shared" si="1"/>
        <v>45</v>
      </c>
      <c r="H39" s="15"/>
    </row>
    <row r="40" spans="2:8" ht="19.5" customHeight="1">
      <c r="B40" s="2">
        <v>1.7</v>
      </c>
      <c r="C40" s="2" t="s">
        <v>52</v>
      </c>
      <c r="D40" s="2"/>
      <c r="E40" s="2"/>
      <c r="F40" s="2"/>
      <c r="G40" s="2">
        <f>SUM(G41:G43)</f>
        <v>271.8</v>
      </c>
      <c r="H40" s="37"/>
    </row>
    <row r="41" spans="2:8" outlineLevel="1">
      <c r="B41" s="4" t="s">
        <v>53</v>
      </c>
      <c r="C41" s="4" t="s">
        <v>243</v>
      </c>
      <c r="D41" s="4">
        <v>354</v>
      </c>
      <c r="E41" s="4" t="s">
        <v>10</v>
      </c>
      <c r="F41" s="4">
        <v>2000</v>
      </c>
      <c r="G41" s="4">
        <f t="shared" si="1"/>
        <v>70.8</v>
      </c>
      <c r="H41" s="15" t="s">
        <v>251</v>
      </c>
    </row>
    <row r="42" spans="2:8" outlineLevel="1">
      <c r="B42" s="4" t="s">
        <v>54</v>
      </c>
      <c r="C42" s="4" t="s">
        <v>244</v>
      </c>
      <c r="D42" s="4">
        <v>350</v>
      </c>
      <c r="E42" s="4" t="s">
        <v>10</v>
      </c>
      <c r="F42" s="4">
        <v>1800</v>
      </c>
      <c r="G42" s="4">
        <f t="shared" si="1"/>
        <v>63</v>
      </c>
      <c r="H42" s="15" t="s">
        <v>249</v>
      </c>
    </row>
    <row r="43" spans="2:8" outlineLevel="1">
      <c r="B43" s="4" t="s">
        <v>55</v>
      </c>
      <c r="C43" s="4" t="s">
        <v>247</v>
      </c>
      <c r="D43" s="4">
        <v>920</v>
      </c>
      <c r="E43" s="4" t="s">
        <v>10</v>
      </c>
      <c r="F43" s="4">
        <v>1500</v>
      </c>
      <c r="G43" s="4">
        <f t="shared" si="1"/>
        <v>138</v>
      </c>
      <c r="H43" s="15" t="s">
        <v>250</v>
      </c>
    </row>
    <row r="44" spans="2:8" ht="19.5" customHeight="1">
      <c r="B44" s="5">
        <v>1.8</v>
      </c>
      <c r="C44" s="2" t="s">
        <v>245</v>
      </c>
      <c r="D44" s="3"/>
      <c r="E44" s="3"/>
      <c r="F44" s="3"/>
      <c r="G44" s="5">
        <f>SUM(G45:G47)</f>
        <v>125</v>
      </c>
      <c r="H44" s="37"/>
    </row>
    <row r="45" spans="2:8" outlineLevel="1">
      <c r="B45" s="4" t="s">
        <v>56</v>
      </c>
      <c r="C45" s="4" t="s">
        <v>57</v>
      </c>
      <c r="D45" s="4">
        <v>1</v>
      </c>
      <c r="E45" s="4" t="s">
        <v>14</v>
      </c>
      <c r="F45" s="4">
        <v>650000</v>
      </c>
      <c r="G45" s="4">
        <f t="shared" si="1"/>
        <v>65</v>
      </c>
      <c r="H45" s="15" t="s">
        <v>246</v>
      </c>
    </row>
    <row r="46" spans="2:8" outlineLevel="1">
      <c r="B46" s="4" t="s">
        <v>58</v>
      </c>
      <c r="C46" s="4" t="s">
        <v>59</v>
      </c>
      <c r="D46" s="4">
        <v>1</v>
      </c>
      <c r="E46" s="4" t="s">
        <v>14</v>
      </c>
      <c r="F46" s="4">
        <v>250000</v>
      </c>
      <c r="G46" s="4">
        <f t="shared" si="1"/>
        <v>25</v>
      </c>
      <c r="H46" s="15"/>
    </row>
    <row r="47" spans="2:8" outlineLevel="1">
      <c r="B47" s="4" t="s">
        <v>60</v>
      </c>
      <c r="C47" s="4" t="s">
        <v>61</v>
      </c>
      <c r="D47" s="4">
        <v>1</v>
      </c>
      <c r="E47" s="4" t="s">
        <v>14</v>
      </c>
      <c r="F47" s="4">
        <v>350000</v>
      </c>
      <c r="G47" s="4">
        <f t="shared" si="1"/>
        <v>35</v>
      </c>
      <c r="H47" s="15"/>
    </row>
    <row r="48" spans="2:8" ht="19.5" customHeight="1">
      <c r="B48" s="5">
        <v>1.9</v>
      </c>
      <c r="C48" s="5" t="s">
        <v>62</v>
      </c>
      <c r="D48" s="6"/>
      <c r="E48" s="6"/>
      <c r="F48" s="6"/>
      <c r="G48" s="5">
        <f>SUM(G49:G58)</f>
        <v>543</v>
      </c>
      <c r="H48" s="37"/>
    </row>
    <row r="49" spans="2:8" ht="19.5" customHeight="1" outlineLevel="1">
      <c r="B49" s="45" t="s">
        <v>263</v>
      </c>
      <c r="C49" s="45" t="s">
        <v>248</v>
      </c>
      <c r="D49" s="45">
        <v>1</v>
      </c>
      <c r="E49" s="45" t="s">
        <v>261</v>
      </c>
      <c r="F49" s="45">
        <v>150000</v>
      </c>
      <c r="G49" s="45">
        <f t="shared" si="1"/>
        <v>15</v>
      </c>
      <c r="H49" s="46" t="s">
        <v>274</v>
      </c>
    </row>
    <row r="50" spans="2:8" ht="19.5" customHeight="1" outlineLevel="1">
      <c r="B50" s="45" t="s">
        <v>264</v>
      </c>
      <c r="C50" s="45" t="s">
        <v>252</v>
      </c>
      <c r="D50" s="45">
        <v>1</v>
      </c>
      <c r="E50" s="45" t="s">
        <v>261</v>
      </c>
      <c r="F50" s="45">
        <v>350000</v>
      </c>
      <c r="G50" s="45">
        <f t="shared" si="1"/>
        <v>35</v>
      </c>
      <c r="H50" s="46"/>
    </row>
    <row r="51" spans="2:8" ht="19.5" customHeight="1" outlineLevel="1">
      <c r="B51" s="45" t="s">
        <v>265</v>
      </c>
      <c r="C51" s="45" t="s">
        <v>254</v>
      </c>
      <c r="D51" s="45">
        <v>1</v>
      </c>
      <c r="E51" s="45" t="s">
        <v>261</v>
      </c>
      <c r="F51" s="45">
        <v>400000</v>
      </c>
      <c r="G51" s="45">
        <f t="shared" si="1"/>
        <v>40</v>
      </c>
      <c r="H51" s="46"/>
    </row>
    <row r="52" spans="2:8" ht="19.5" customHeight="1" outlineLevel="1">
      <c r="B52" s="45" t="s">
        <v>266</v>
      </c>
      <c r="C52" s="45" t="s">
        <v>255</v>
      </c>
      <c r="D52" s="45">
        <v>1</v>
      </c>
      <c r="E52" s="45" t="s">
        <v>261</v>
      </c>
      <c r="F52" s="45">
        <v>180000</v>
      </c>
      <c r="G52" s="45">
        <f t="shared" si="1"/>
        <v>18</v>
      </c>
      <c r="H52" s="46"/>
    </row>
    <row r="53" spans="2:8" ht="19.5" customHeight="1" outlineLevel="1">
      <c r="B53" s="45" t="s">
        <v>267</v>
      </c>
      <c r="C53" s="45" t="s">
        <v>256</v>
      </c>
      <c r="D53" s="45">
        <v>1</v>
      </c>
      <c r="E53" s="45" t="s">
        <v>261</v>
      </c>
      <c r="F53" s="45">
        <v>200000</v>
      </c>
      <c r="G53" s="45">
        <f t="shared" si="1"/>
        <v>20</v>
      </c>
      <c r="H53" s="46"/>
    </row>
    <row r="54" spans="2:8" ht="19.5" customHeight="1" outlineLevel="1">
      <c r="B54" s="45" t="s">
        <v>268</v>
      </c>
      <c r="C54" s="45" t="s">
        <v>257</v>
      </c>
      <c r="D54" s="45">
        <v>1</v>
      </c>
      <c r="E54" s="45" t="s">
        <v>261</v>
      </c>
      <c r="F54" s="45">
        <v>3000000</v>
      </c>
      <c r="G54" s="45">
        <f t="shared" si="1"/>
        <v>300</v>
      </c>
      <c r="H54" s="46"/>
    </row>
    <row r="55" spans="2:8" outlineLevel="1">
      <c r="B55" s="45" t="s">
        <v>269</v>
      </c>
      <c r="C55" s="4" t="s">
        <v>63</v>
      </c>
      <c r="D55" s="4">
        <v>1</v>
      </c>
      <c r="E55" s="4" t="s">
        <v>14</v>
      </c>
      <c r="F55" s="4">
        <v>450000</v>
      </c>
      <c r="G55" s="45">
        <f t="shared" si="1"/>
        <v>45</v>
      </c>
      <c r="H55" s="15"/>
    </row>
    <row r="56" spans="2:8" outlineLevel="1">
      <c r="B56" s="45" t="s">
        <v>270</v>
      </c>
      <c r="C56" s="4" t="s">
        <v>253</v>
      </c>
      <c r="D56" s="4">
        <v>1</v>
      </c>
      <c r="E56" s="4" t="s">
        <v>14</v>
      </c>
      <c r="F56" s="4">
        <v>300000</v>
      </c>
      <c r="G56" s="45">
        <f t="shared" si="1"/>
        <v>30</v>
      </c>
      <c r="H56" s="15"/>
    </row>
    <row r="57" spans="2:8" outlineLevel="1">
      <c r="B57" s="45" t="s">
        <v>271</v>
      </c>
      <c r="C57" s="4" t="s">
        <v>273</v>
      </c>
      <c r="D57" s="4">
        <v>1</v>
      </c>
      <c r="E57" s="4" t="s">
        <v>14</v>
      </c>
      <c r="F57" s="4">
        <v>150000</v>
      </c>
      <c r="G57" s="45">
        <f t="shared" si="1"/>
        <v>15</v>
      </c>
      <c r="H57" s="15"/>
    </row>
    <row r="58" spans="2:8" outlineLevel="1">
      <c r="B58" s="45" t="s">
        <v>272</v>
      </c>
      <c r="C58" s="4" t="s">
        <v>258</v>
      </c>
      <c r="D58" s="4">
        <v>1</v>
      </c>
      <c r="E58" s="4" t="s">
        <v>14</v>
      </c>
      <c r="F58" s="4">
        <v>250000</v>
      </c>
      <c r="G58" s="45">
        <f t="shared" si="1"/>
        <v>25</v>
      </c>
      <c r="H58" s="15"/>
    </row>
    <row r="59" spans="2:8" ht="42.75">
      <c r="B59" s="7" t="s">
        <v>64</v>
      </c>
      <c r="C59" s="11" t="s">
        <v>72</v>
      </c>
      <c r="D59" s="8"/>
      <c r="E59" s="8"/>
      <c r="F59" s="8"/>
      <c r="G59" s="38">
        <f>G4*0.095</f>
        <v>328.30100000000004</v>
      </c>
      <c r="H59" s="35"/>
    </row>
    <row r="60" spans="2:8">
      <c r="B60" s="7" t="s">
        <v>65</v>
      </c>
      <c r="C60" s="7" t="s">
        <v>277</v>
      </c>
      <c r="D60" s="8"/>
      <c r="E60" s="8"/>
      <c r="F60" s="8"/>
      <c r="G60" s="39">
        <f>(G4+G59)*0.05</f>
        <v>189.20505000000003</v>
      </c>
      <c r="H60" s="35"/>
    </row>
    <row r="61" spans="2:8">
      <c r="B61" s="7" t="s">
        <v>66</v>
      </c>
      <c r="C61" s="7" t="s">
        <v>67</v>
      </c>
      <c r="D61" s="8"/>
      <c r="E61" s="8"/>
      <c r="F61" s="8"/>
      <c r="G61" s="39">
        <f>G4+G59+G60</f>
        <v>3973.3060500000001</v>
      </c>
      <c r="H61" s="35"/>
    </row>
    <row r="62" spans="2:8">
      <c r="B62" s="74" t="s">
        <v>68</v>
      </c>
      <c r="C62" s="74" t="s">
        <v>69</v>
      </c>
      <c r="D62" s="35"/>
      <c r="E62" s="35"/>
      <c r="F62" s="35"/>
      <c r="G62" s="38">
        <f>G61*0.8*0.048*2</f>
        <v>305.14990464000005</v>
      </c>
      <c r="H62" s="35"/>
    </row>
    <row r="63" spans="2:8">
      <c r="B63" s="7" t="s">
        <v>70</v>
      </c>
      <c r="C63" s="7" t="s">
        <v>224</v>
      </c>
      <c r="D63" s="7">
        <v>1</v>
      </c>
      <c r="E63" s="7" t="s">
        <v>261</v>
      </c>
      <c r="F63" s="7"/>
      <c r="G63" s="10">
        <v>300</v>
      </c>
      <c r="H63" s="35"/>
    </row>
    <row r="64" spans="2:8">
      <c r="B64" s="7" t="s">
        <v>71</v>
      </c>
      <c r="C64" s="7" t="s">
        <v>225</v>
      </c>
      <c r="D64" s="8"/>
      <c r="E64" s="8"/>
      <c r="F64" s="8"/>
      <c r="G64" s="9">
        <f>SUM(G61:G63)</f>
        <v>4578.4559546400005</v>
      </c>
      <c r="H64" s="35"/>
    </row>
    <row r="65" spans="2:8">
      <c r="B65" s="75" t="s">
        <v>73</v>
      </c>
      <c r="C65" s="76" t="s">
        <v>226</v>
      </c>
      <c r="D65" s="76"/>
      <c r="E65" s="76"/>
      <c r="F65" s="76"/>
      <c r="G65" s="76"/>
      <c r="H65" s="35"/>
    </row>
    <row r="66" spans="2:8">
      <c r="B66" s="77"/>
      <c r="C66" s="76" t="s">
        <v>227</v>
      </c>
      <c r="D66" s="76"/>
      <c r="E66" s="76"/>
      <c r="F66" s="76"/>
      <c r="G66" s="76"/>
      <c r="H66" s="35"/>
    </row>
    <row r="67" spans="2:8">
      <c r="B67" s="77"/>
      <c r="C67" s="78" t="s">
        <v>278</v>
      </c>
      <c r="D67" s="79"/>
      <c r="E67" s="79"/>
      <c r="F67" s="79"/>
      <c r="G67" s="80"/>
      <c r="H67" s="35"/>
    </row>
    <row r="68" spans="2:8">
      <c r="B68" s="81"/>
      <c r="C68" s="78" t="s">
        <v>228</v>
      </c>
      <c r="D68" s="79"/>
      <c r="E68" s="79"/>
      <c r="F68" s="79"/>
      <c r="G68" s="80"/>
      <c r="H68" s="35"/>
    </row>
  </sheetData>
  <mergeCells count="6">
    <mergeCell ref="B2:H2"/>
    <mergeCell ref="C68:G68"/>
    <mergeCell ref="B65:B68"/>
    <mergeCell ref="C65:G65"/>
    <mergeCell ref="C66:G66"/>
    <mergeCell ref="C67:G67"/>
  </mergeCells>
  <phoneticPr fontId="5" type="noConversion"/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2982-F708-46B1-A31D-60F60480A7DE}">
  <dimension ref="C3:P49"/>
  <sheetViews>
    <sheetView tabSelected="1" topLeftCell="C1" workbookViewId="0">
      <selection activeCell="F15" sqref="F15"/>
    </sheetView>
  </sheetViews>
  <sheetFormatPr defaultRowHeight="14.25"/>
  <cols>
    <col min="3" max="3" width="15.5" customWidth="1"/>
    <col min="4" max="4" width="13.5" customWidth="1"/>
    <col min="5" max="5" width="11.875" customWidth="1"/>
    <col min="6" max="6" width="12" customWidth="1"/>
    <col min="7" max="7" width="19.125" customWidth="1"/>
    <col min="8" max="8" width="14.875" customWidth="1"/>
    <col min="9" max="10" width="14" customWidth="1"/>
    <col min="13" max="13" width="13.75" customWidth="1"/>
    <col min="14" max="14" width="11.25" customWidth="1"/>
    <col min="16" max="16" width="12.25" customWidth="1"/>
  </cols>
  <sheetData>
    <row r="3" spans="3:16" ht="24" customHeight="1">
      <c r="C3" s="65" t="s">
        <v>285</v>
      </c>
      <c r="D3" s="65"/>
      <c r="E3" s="65"/>
      <c r="F3" s="65"/>
      <c r="G3" s="65"/>
      <c r="H3" s="61" t="s">
        <v>315</v>
      </c>
      <c r="I3" s="61"/>
      <c r="J3" s="58"/>
    </row>
    <row r="4" spans="3:16">
      <c r="C4" s="60" t="s">
        <v>298</v>
      </c>
      <c r="D4" s="60"/>
      <c r="E4" s="60"/>
      <c r="F4" s="60"/>
      <c r="G4" s="60"/>
      <c r="H4" s="60" t="s">
        <v>311</v>
      </c>
      <c r="I4" s="60" t="s">
        <v>316</v>
      </c>
      <c r="J4" s="13"/>
    </row>
    <row r="5" spans="3:16">
      <c r="C5" s="4" t="s">
        <v>287</v>
      </c>
      <c r="D5" s="4" t="s">
        <v>288</v>
      </c>
      <c r="E5" s="4" t="s">
        <v>286</v>
      </c>
      <c r="F5" s="4" t="s">
        <v>294</v>
      </c>
      <c r="G5" s="4" t="s">
        <v>312</v>
      </c>
      <c r="H5" s="60"/>
      <c r="I5" s="60"/>
      <c r="J5" s="13"/>
      <c r="K5" s="13" t="s">
        <v>337</v>
      </c>
      <c r="L5" s="13" t="s">
        <v>334</v>
      </c>
      <c r="M5" s="13" t="s">
        <v>338</v>
      </c>
      <c r="N5" s="13" t="s">
        <v>339</v>
      </c>
      <c r="O5" s="13" t="s">
        <v>335</v>
      </c>
    </row>
    <row r="6" spans="3:16">
      <c r="C6" s="4" t="s">
        <v>290</v>
      </c>
      <c r="D6" s="4" t="s">
        <v>291</v>
      </c>
      <c r="E6" s="15"/>
      <c r="F6" s="50">
        <f>$D$31*0.1*30/0.2/10000</f>
        <v>750</v>
      </c>
      <c r="G6" s="48">
        <v>0.2</v>
      </c>
      <c r="H6" s="50">
        <f>F6*(1+G6)</f>
        <v>900</v>
      </c>
      <c r="I6" s="50">
        <f>H6*(1+G6)</f>
        <v>1080</v>
      </c>
      <c r="J6" s="50"/>
      <c r="K6" s="50">
        <f>$D$31*0.1</f>
        <v>50000</v>
      </c>
      <c r="L6" s="50">
        <f>30</f>
        <v>30</v>
      </c>
      <c r="M6" s="59">
        <v>0.2</v>
      </c>
      <c r="N6" s="50"/>
      <c r="O6" s="15">
        <v>0</v>
      </c>
    </row>
    <row r="7" spans="3:16">
      <c r="C7" s="4" t="s">
        <v>289</v>
      </c>
      <c r="D7" s="4" t="s">
        <v>336</v>
      </c>
      <c r="E7" s="15"/>
      <c r="F7" s="15">
        <v>416</v>
      </c>
      <c r="G7" s="48">
        <v>0.05</v>
      </c>
      <c r="H7" s="50">
        <f t="shared" ref="H7:H24" si="0">F7*(1+G7)</f>
        <v>436.8</v>
      </c>
      <c r="I7" s="50">
        <f t="shared" ref="I7:I24" si="1">H7*(1+G7)</f>
        <v>458.64000000000004</v>
      </c>
      <c r="J7" s="50"/>
      <c r="K7" s="15">
        <v>350000</v>
      </c>
      <c r="L7" s="15">
        <v>45</v>
      </c>
      <c r="M7" s="15"/>
      <c r="N7" s="15"/>
      <c r="O7" s="15">
        <v>26</v>
      </c>
      <c r="P7" t="s">
        <v>340</v>
      </c>
    </row>
    <row r="8" spans="3:16">
      <c r="C8" s="4" t="s">
        <v>295</v>
      </c>
      <c r="D8" s="4" t="s">
        <v>292</v>
      </c>
      <c r="E8" s="15"/>
      <c r="F8" s="15">
        <f>$D$31*0.2*15/0.3/10000</f>
        <v>500</v>
      </c>
      <c r="G8" s="48">
        <v>0.15</v>
      </c>
      <c r="H8" s="50">
        <f t="shared" si="0"/>
        <v>575</v>
      </c>
      <c r="I8" s="50">
        <f t="shared" si="1"/>
        <v>661.25</v>
      </c>
      <c r="J8" s="50"/>
      <c r="K8" s="15">
        <f>$D$31*0.2</f>
        <v>100000</v>
      </c>
      <c r="L8" s="15">
        <v>15</v>
      </c>
      <c r="M8" s="15"/>
      <c r="N8" s="48">
        <v>0.3</v>
      </c>
      <c r="O8" s="15">
        <v>3</v>
      </c>
    </row>
    <row r="9" spans="3:16">
      <c r="C9" s="4" t="s">
        <v>293</v>
      </c>
      <c r="D9" s="4" t="s">
        <v>291</v>
      </c>
      <c r="E9" s="15"/>
      <c r="F9" s="15">
        <f>$D$31*0.1*20*0.4/10000</f>
        <v>40</v>
      </c>
      <c r="G9" s="48">
        <v>0.2</v>
      </c>
      <c r="H9" s="50">
        <f t="shared" si="0"/>
        <v>48</v>
      </c>
      <c r="I9" s="50">
        <f t="shared" si="1"/>
        <v>57.599999999999994</v>
      </c>
      <c r="J9" s="50"/>
      <c r="K9" s="15">
        <f>$D$31*0.1</f>
        <v>50000</v>
      </c>
      <c r="L9" s="15">
        <v>20</v>
      </c>
      <c r="M9" s="15">
        <v>0.4</v>
      </c>
      <c r="N9" s="15"/>
      <c r="O9" s="15">
        <v>0</v>
      </c>
    </row>
    <row r="10" spans="3:16">
      <c r="C10" s="4" t="s">
        <v>297</v>
      </c>
      <c r="D10" s="4" t="s">
        <v>291</v>
      </c>
      <c r="E10" s="15"/>
      <c r="F10" s="15">
        <f>$D$31*0.1*30*0.6/10000</f>
        <v>90</v>
      </c>
      <c r="G10" s="48">
        <v>0.5</v>
      </c>
      <c r="H10" s="50">
        <f t="shared" si="0"/>
        <v>135</v>
      </c>
      <c r="I10" s="50">
        <f t="shared" si="1"/>
        <v>202.5</v>
      </c>
      <c r="J10" s="50"/>
      <c r="K10" s="15">
        <f>$D$31*0.1</f>
        <v>50000</v>
      </c>
      <c r="L10" s="15">
        <v>30</v>
      </c>
      <c r="M10" s="15">
        <f>$D$31*0.1*20*0.6/10000</f>
        <v>60</v>
      </c>
      <c r="N10" s="15"/>
      <c r="O10" s="15">
        <v>0</v>
      </c>
    </row>
    <row r="11" spans="3:16">
      <c r="C11" s="4" t="s">
        <v>299</v>
      </c>
      <c r="D11" s="4" t="s">
        <v>331</v>
      </c>
      <c r="E11" s="15">
        <v>500</v>
      </c>
      <c r="F11" s="50">
        <f>E11*5.5*365/10000</f>
        <v>100.375</v>
      </c>
      <c r="G11" s="48">
        <v>0.05</v>
      </c>
      <c r="H11" s="50">
        <f t="shared" si="0"/>
        <v>105.39375000000001</v>
      </c>
      <c r="I11" s="50">
        <f t="shared" si="1"/>
        <v>110.66343750000001</v>
      </c>
      <c r="J11" s="50"/>
      <c r="K11" s="50"/>
      <c r="L11" s="50"/>
      <c r="M11" s="50"/>
      <c r="N11" s="50"/>
      <c r="O11" s="15">
        <v>0</v>
      </c>
      <c r="P11" t="s">
        <v>341</v>
      </c>
    </row>
    <row r="12" spans="3:16">
      <c r="C12" s="4" t="s">
        <v>301</v>
      </c>
      <c r="D12" s="4" t="s">
        <v>291</v>
      </c>
      <c r="E12" s="15">
        <v>920</v>
      </c>
      <c r="F12" s="50">
        <f>E12*4.5*365/10000</f>
        <v>151.11000000000001</v>
      </c>
      <c r="G12" s="48">
        <v>0.05</v>
      </c>
      <c r="H12" s="50">
        <f t="shared" si="0"/>
        <v>158.66550000000001</v>
      </c>
      <c r="I12" s="50">
        <f t="shared" si="1"/>
        <v>166.59877500000002</v>
      </c>
      <c r="J12" s="50"/>
      <c r="K12" s="50"/>
      <c r="L12" s="50"/>
      <c r="M12" s="50"/>
      <c r="N12" s="50"/>
      <c r="O12" s="15">
        <v>0</v>
      </c>
    </row>
    <row r="13" spans="3:16">
      <c r="C13" s="4" t="s">
        <v>308</v>
      </c>
      <c r="D13" s="4" t="s">
        <v>291</v>
      </c>
      <c r="E13" s="15"/>
      <c r="F13" s="15">
        <f>$D$31*0.2*50*0.2/10000</f>
        <v>100</v>
      </c>
      <c r="G13" s="48">
        <v>0.1</v>
      </c>
      <c r="H13" s="50">
        <f t="shared" si="0"/>
        <v>110.00000000000001</v>
      </c>
      <c r="I13" s="50">
        <f t="shared" si="1"/>
        <v>121.00000000000003</v>
      </c>
      <c r="J13" s="50"/>
      <c r="K13" s="15">
        <f>$D$31*0.2</f>
        <v>100000</v>
      </c>
      <c r="L13" s="15">
        <v>50</v>
      </c>
      <c r="M13" s="15">
        <f>0.2</f>
        <v>0.2</v>
      </c>
      <c r="N13" s="15"/>
      <c r="O13" s="15">
        <v>0</v>
      </c>
      <c r="P13" t="s">
        <v>341</v>
      </c>
    </row>
    <row r="14" spans="3:16">
      <c r="C14" s="4" t="s">
        <v>302</v>
      </c>
      <c r="D14" s="4" t="s">
        <v>291</v>
      </c>
      <c r="E14" s="15">
        <v>1500</v>
      </c>
      <c r="F14" s="50">
        <f>27*5+3*10</f>
        <v>165</v>
      </c>
      <c r="G14" s="48">
        <v>0.5</v>
      </c>
      <c r="H14" s="50">
        <f t="shared" si="0"/>
        <v>247.5</v>
      </c>
      <c r="I14" s="50">
        <f t="shared" si="1"/>
        <v>371.25</v>
      </c>
      <c r="J14" s="50"/>
      <c r="K14" s="50"/>
      <c r="L14" s="50"/>
      <c r="M14" s="50"/>
      <c r="N14" s="50"/>
      <c r="O14" s="15">
        <v>2</v>
      </c>
      <c r="P14" t="s">
        <v>342</v>
      </c>
    </row>
    <row r="15" spans="3:16">
      <c r="C15" s="4" t="s">
        <v>303</v>
      </c>
      <c r="D15" s="4" t="s">
        <v>292</v>
      </c>
      <c r="E15" s="15"/>
      <c r="F15" s="15">
        <f>80*2*0.6</f>
        <v>96</v>
      </c>
      <c r="G15" s="48">
        <v>0.1</v>
      </c>
      <c r="H15" s="50">
        <f t="shared" si="0"/>
        <v>105.60000000000001</v>
      </c>
      <c r="I15" s="50">
        <f t="shared" si="1"/>
        <v>116.16000000000003</v>
      </c>
      <c r="J15" s="50"/>
      <c r="K15" s="15"/>
      <c r="L15" s="15"/>
      <c r="M15" s="15"/>
      <c r="N15" s="15"/>
      <c r="O15" s="15">
        <v>3</v>
      </c>
      <c r="P15" t="s">
        <v>343</v>
      </c>
    </row>
    <row r="16" spans="3:16">
      <c r="C16" s="4" t="s">
        <v>304</v>
      </c>
      <c r="D16" s="4" t="s">
        <v>331</v>
      </c>
      <c r="E16" s="15"/>
      <c r="F16" s="15">
        <v>20</v>
      </c>
      <c r="G16" s="48">
        <v>0.4</v>
      </c>
      <c r="H16" s="50">
        <f t="shared" si="0"/>
        <v>28</v>
      </c>
      <c r="I16" s="50">
        <f t="shared" si="1"/>
        <v>39.199999999999996</v>
      </c>
      <c r="J16" s="50"/>
      <c r="K16" s="15"/>
      <c r="L16" s="15"/>
      <c r="M16" s="15"/>
      <c r="N16" s="15"/>
      <c r="O16" s="15">
        <v>0</v>
      </c>
      <c r="P16" t="s">
        <v>341</v>
      </c>
    </row>
    <row r="17" spans="3:15">
      <c r="C17" s="4" t="s">
        <v>314</v>
      </c>
      <c r="D17" s="4" t="s">
        <v>291</v>
      </c>
      <c r="E17" s="15"/>
      <c r="F17" s="15">
        <f>200*40*300/10000*0.6</f>
        <v>144</v>
      </c>
      <c r="G17" s="48">
        <v>0.4</v>
      </c>
      <c r="H17" s="50">
        <f t="shared" si="0"/>
        <v>201.6</v>
      </c>
      <c r="I17" s="50">
        <f t="shared" si="1"/>
        <v>282.23999999999995</v>
      </c>
      <c r="J17" s="50"/>
      <c r="K17" s="15">
        <f>200*40</f>
        <v>8000</v>
      </c>
      <c r="L17" s="15">
        <v>300</v>
      </c>
      <c r="M17" s="15">
        <v>0.6</v>
      </c>
      <c r="N17" s="15"/>
      <c r="O17" s="15">
        <v>1</v>
      </c>
    </row>
    <row r="18" spans="3:15">
      <c r="C18" s="4" t="s">
        <v>305</v>
      </c>
      <c r="D18" s="4" t="s">
        <v>291</v>
      </c>
      <c r="E18" s="15"/>
      <c r="F18" s="15">
        <f>$D$31*0.01*100*0.4/10000</f>
        <v>20</v>
      </c>
      <c r="G18" s="48">
        <v>0.2</v>
      </c>
      <c r="H18" s="50">
        <f t="shared" si="0"/>
        <v>24</v>
      </c>
      <c r="I18" s="50">
        <f t="shared" si="1"/>
        <v>28.799999999999997</v>
      </c>
      <c r="J18" s="50"/>
      <c r="K18" s="15">
        <f>$D$31*0.01</f>
        <v>5000</v>
      </c>
      <c r="L18" s="15">
        <v>100</v>
      </c>
      <c r="M18" s="15">
        <v>0.4</v>
      </c>
      <c r="N18" s="15"/>
      <c r="O18" s="15">
        <v>0</v>
      </c>
    </row>
    <row r="19" spans="3:15">
      <c r="C19" s="4" t="s">
        <v>306</v>
      </c>
      <c r="D19" s="4" t="s">
        <v>291</v>
      </c>
      <c r="E19" s="15"/>
      <c r="F19" s="15">
        <f>$D$31*0.1*50*0.2/10000</f>
        <v>50</v>
      </c>
      <c r="G19" s="48">
        <v>0.3</v>
      </c>
      <c r="H19" s="50">
        <f t="shared" si="0"/>
        <v>65</v>
      </c>
      <c r="I19" s="50">
        <f t="shared" si="1"/>
        <v>84.5</v>
      </c>
      <c r="J19" s="50"/>
      <c r="K19" s="15">
        <f>$D$31*0.1</f>
        <v>50000</v>
      </c>
      <c r="L19" s="15">
        <v>50</v>
      </c>
      <c r="M19" s="15">
        <v>0.2</v>
      </c>
      <c r="N19" s="15"/>
      <c r="O19" s="15">
        <v>0</v>
      </c>
    </row>
    <row r="20" spans="3:15">
      <c r="C20" s="4" t="s">
        <v>307</v>
      </c>
      <c r="D20" s="4" t="s">
        <v>291</v>
      </c>
      <c r="E20" s="15"/>
      <c r="F20" s="15">
        <f>$D$31*0.05*20*0.6/10000</f>
        <v>30</v>
      </c>
      <c r="G20" s="48">
        <v>0.3</v>
      </c>
      <c r="H20" s="50">
        <f t="shared" si="0"/>
        <v>39</v>
      </c>
      <c r="I20" s="50">
        <f t="shared" si="1"/>
        <v>50.7</v>
      </c>
      <c r="J20" s="50"/>
      <c r="K20" s="15">
        <f>$D$31*0.05</f>
        <v>25000</v>
      </c>
      <c r="L20" s="15">
        <f>$D$31*0.05*20*0.6/10000</f>
        <v>30</v>
      </c>
      <c r="M20" s="15">
        <v>0.6</v>
      </c>
      <c r="N20" s="15"/>
      <c r="O20" s="15">
        <v>0</v>
      </c>
    </row>
    <row r="21" spans="3:15">
      <c r="C21" s="4" t="s">
        <v>310</v>
      </c>
      <c r="D21" s="4" t="s">
        <v>332</v>
      </c>
      <c r="E21" s="15"/>
      <c r="F21" s="15">
        <f>$D$31*0.2*40*0.3/10000</f>
        <v>120</v>
      </c>
      <c r="G21" s="48">
        <v>0.5</v>
      </c>
      <c r="H21" s="50">
        <f t="shared" si="0"/>
        <v>180</v>
      </c>
      <c r="I21" s="50">
        <f t="shared" si="1"/>
        <v>270</v>
      </c>
      <c r="J21" s="50"/>
      <c r="K21" s="15">
        <f>$D$31*0.2</f>
        <v>100000</v>
      </c>
      <c r="L21" s="15">
        <v>40</v>
      </c>
      <c r="M21" s="15">
        <v>0.3</v>
      </c>
      <c r="N21" s="15"/>
      <c r="O21" s="15">
        <v>0</v>
      </c>
    </row>
    <row r="22" spans="3:15">
      <c r="C22" s="4" t="s">
        <v>248</v>
      </c>
      <c r="D22" s="4" t="s">
        <v>333</v>
      </c>
      <c r="E22" s="15"/>
      <c r="F22" s="15">
        <f>$D$31*0.1*20*0.3/10000</f>
        <v>30</v>
      </c>
      <c r="G22" s="48">
        <v>0.03</v>
      </c>
      <c r="H22" s="50">
        <f t="shared" si="0"/>
        <v>30.900000000000002</v>
      </c>
      <c r="I22" s="50">
        <f t="shared" si="1"/>
        <v>31.827000000000002</v>
      </c>
      <c r="J22" s="50"/>
      <c r="K22" s="15">
        <f>$D$31*0.1*20*0.3/10000</f>
        <v>30</v>
      </c>
      <c r="L22" s="15">
        <f>$D$31*0.1*20*0.3/10000</f>
        <v>30</v>
      </c>
      <c r="M22" s="15">
        <f>$D$31*0.1*20*0.3/10000</f>
        <v>30</v>
      </c>
      <c r="N22" s="15"/>
      <c r="O22" s="15">
        <v>3</v>
      </c>
    </row>
    <row r="23" spans="3:15">
      <c r="C23" s="4" t="s">
        <v>345</v>
      </c>
      <c r="D23" s="4" t="s">
        <v>346</v>
      </c>
      <c r="E23" s="15"/>
      <c r="F23" s="15"/>
      <c r="G23" s="48"/>
      <c r="H23" s="50"/>
      <c r="I23" s="50"/>
      <c r="J23" s="50"/>
      <c r="K23" s="15"/>
      <c r="L23" s="15"/>
      <c r="M23" s="15"/>
      <c r="N23" s="15"/>
      <c r="O23" s="15"/>
    </row>
    <row r="24" spans="3:15">
      <c r="C24" s="4" t="s">
        <v>313</v>
      </c>
      <c r="D24" s="4" t="s">
        <v>333</v>
      </c>
      <c r="E24" s="15"/>
      <c r="F24" s="15">
        <f>D31*0.3*10/10000</f>
        <v>150</v>
      </c>
      <c r="G24" s="48">
        <v>0.05</v>
      </c>
      <c r="H24" s="50">
        <f t="shared" si="0"/>
        <v>157.5</v>
      </c>
      <c r="I24" s="50">
        <f t="shared" si="1"/>
        <v>165.375</v>
      </c>
      <c r="J24" s="50"/>
      <c r="K24" s="15">
        <v>150000</v>
      </c>
      <c r="L24" s="15">
        <v>15</v>
      </c>
      <c r="M24" s="15">
        <f>K31*0.3*10/10000</f>
        <v>0</v>
      </c>
      <c r="N24" s="48">
        <v>0.66</v>
      </c>
      <c r="O24" s="15">
        <v>10</v>
      </c>
    </row>
    <row r="25" spans="3:15">
      <c r="C25" s="15"/>
      <c r="D25" s="15"/>
      <c r="E25" s="15"/>
      <c r="F25" s="50">
        <f>SUM(F6:F24)</f>
        <v>2972.4850000000001</v>
      </c>
      <c r="G25" s="15"/>
      <c r="H25" s="50">
        <f>SUM(H6:H22)</f>
        <v>3390.4592500000003</v>
      </c>
      <c r="I25" s="50">
        <f>SUM(I6:I24)</f>
        <v>4298.3042125000002</v>
      </c>
      <c r="J25" s="57"/>
      <c r="O25">
        <f>SUM(O6:O24)</f>
        <v>48</v>
      </c>
    </row>
    <row r="26" spans="3:15">
      <c r="C26" s="15"/>
      <c r="D26" s="15"/>
      <c r="E26" s="15"/>
      <c r="F26" s="50"/>
      <c r="G26" s="15"/>
      <c r="H26" s="51">
        <f>(H25-F25)/F25</f>
        <v>0.14061441857570356</v>
      </c>
      <c r="I26" s="51">
        <f>(I25-H25)/H25</f>
        <v>0.26776459929432855</v>
      </c>
      <c r="J26" s="47">
        <v>0.01</v>
      </c>
      <c r="K26" s="47"/>
    </row>
    <row r="27" spans="3:15">
      <c r="C27" s="54" t="s">
        <v>319</v>
      </c>
    </row>
    <row r="29" spans="3:15" ht="15.75">
      <c r="C29" s="66" t="s">
        <v>309</v>
      </c>
      <c r="D29" s="66"/>
      <c r="E29" s="66"/>
      <c r="F29" s="66"/>
      <c r="G29" s="66"/>
    </row>
    <row r="30" spans="3:15">
      <c r="C30" s="60" t="s">
        <v>279</v>
      </c>
      <c r="D30" s="4" t="s">
        <v>281</v>
      </c>
      <c r="E30" s="4" t="s">
        <v>282</v>
      </c>
      <c r="F30" s="4" t="s">
        <v>280</v>
      </c>
      <c r="G30" s="4" t="s">
        <v>324</v>
      </c>
    </row>
    <row r="31" spans="3:15">
      <c r="C31" s="60"/>
      <c r="D31" s="15">
        <v>500000</v>
      </c>
      <c r="E31" s="15">
        <v>600000</v>
      </c>
      <c r="F31" s="15">
        <v>750000</v>
      </c>
      <c r="G31" s="15">
        <v>800000</v>
      </c>
    </row>
    <row r="32" spans="3:15">
      <c r="C32" s="4" t="s">
        <v>283</v>
      </c>
      <c r="D32" s="48">
        <v>0.5</v>
      </c>
      <c r="E32" s="48">
        <v>0.6</v>
      </c>
      <c r="F32" s="48">
        <v>0.85</v>
      </c>
      <c r="G32" s="48">
        <v>0.85</v>
      </c>
    </row>
    <row r="33" spans="3:7">
      <c r="C33" s="4" t="s">
        <v>284</v>
      </c>
      <c r="D33" s="15">
        <v>80</v>
      </c>
      <c r="E33" s="15">
        <v>120</v>
      </c>
      <c r="F33" s="15">
        <v>150</v>
      </c>
      <c r="G33" s="15">
        <v>150</v>
      </c>
    </row>
    <row r="34" spans="3:7">
      <c r="C34" s="4" t="s">
        <v>296</v>
      </c>
      <c r="D34" s="49">
        <f>D31*D32*D33/10000</f>
        <v>2000</v>
      </c>
      <c r="E34" s="49">
        <f t="shared" ref="E34:G34" si="2">E31*E32*E33/10000</f>
        <v>4320</v>
      </c>
      <c r="F34" s="49">
        <f t="shared" si="2"/>
        <v>9562.5</v>
      </c>
      <c r="G34" s="49">
        <f t="shared" si="2"/>
        <v>10200</v>
      </c>
    </row>
    <row r="35" spans="3:7">
      <c r="C35" s="4" t="s">
        <v>317</v>
      </c>
      <c r="D35" s="15"/>
      <c r="E35" s="51">
        <f>(E31-D31)/D31</f>
        <v>0.2</v>
      </c>
      <c r="F35" s="51">
        <f>(F31-E31)/E31</f>
        <v>0.25</v>
      </c>
      <c r="G35" s="51">
        <f>(G31-F31)/F31</f>
        <v>6.6666666666666666E-2</v>
      </c>
    </row>
    <row r="36" spans="3:7">
      <c r="D36" s="13"/>
    </row>
    <row r="38" spans="3:7">
      <c r="D38" s="12"/>
    </row>
    <row r="39" spans="3:7">
      <c r="D39" s="12"/>
    </row>
    <row r="40" spans="3:7" ht="20.25" customHeight="1">
      <c r="C40" s="62" t="s">
        <v>318</v>
      </c>
      <c r="D40" s="63"/>
      <c r="E40" s="63"/>
      <c r="F40" s="63"/>
      <c r="G40" s="64"/>
    </row>
    <row r="41" spans="3:7">
      <c r="C41" s="15"/>
      <c r="D41" s="53" t="s">
        <v>320</v>
      </c>
      <c r="E41" s="4" t="s">
        <v>321</v>
      </c>
      <c r="F41" s="4" t="s">
        <v>322</v>
      </c>
      <c r="G41" s="4" t="s">
        <v>323</v>
      </c>
    </row>
    <row r="42" spans="3:7">
      <c r="C42" s="15" t="s">
        <v>325</v>
      </c>
      <c r="D42" s="36">
        <v>1</v>
      </c>
      <c r="E42" s="51">
        <f>(1+1*H26)*E35</f>
        <v>0.22812288371514075</v>
      </c>
      <c r="F42" s="51">
        <f>(1+1*I26)*F35</f>
        <v>0.31694114982358212</v>
      </c>
      <c r="G42" s="51">
        <f>(1+1*J26)*G35</f>
        <v>6.7333333333333328E-2</v>
      </c>
    </row>
    <row r="43" spans="3:7" ht="20.25">
      <c r="C43" s="15" t="s">
        <v>326</v>
      </c>
      <c r="D43" s="55">
        <f>F25</f>
        <v>2972.4850000000001</v>
      </c>
      <c r="E43" s="56">
        <f>D43*(1+E42)</f>
        <v>3650.5768500000004</v>
      </c>
      <c r="F43" s="56">
        <f t="shared" ref="F43:G43" si="3">E43*(1+F42)</f>
        <v>4807.5948743583513</v>
      </c>
      <c r="G43" s="56">
        <f t="shared" si="3"/>
        <v>5131.3062625651464</v>
      </c>
    </row>
    <row r="44" spans="3:7">
      <c r="C44" s="15"/>
      <c r="D44" s="52"/>
      <c r="E44" s="15"/>
      <c r="F44" s="15"/>
      <c r="G44" s="15"/>
    </row>
    <row r="45" spans="3:7">
      <c r="C45" s="15"/>
      <c r="D45" s="52"/>
      <c r="E45" s="15"/>
      <c r="F45" s="15"/>
      <c r="G45" s="15"/>
    </row>
    <row r="46" spans="3:7">
      <c r="C46" s="15"/>
      <c r="D46" s="52"/>
      <c r="E46" s="15"/>
      <c r="F46" s="15"/>
      <c r="G46" s="15"/>
    </row>
    <row r="47" spans="3:7">
      <c r="D47" s="12"/>
    </row>
    <row r="48" spans="3:7">
      <c r="D48" s="12"/>
    </row>
    <row r="49" spans="4:4">
      <c r="D49" s="12"/>
    </row>
  </sheetData>
  <mergeCells count="8">
    <mergeCell ref="H4:H5"/>
    <mergeCell ref="I4:I5"/>
    <mergeCell ref="H3:I3"/>
    <mergeCell ref="C40:G40"/>
    <mergeCell ref="C3:G3"/>
    <mergeCell ref="C30:C31"/>
    <mergeCell ref="C29:G29"/>
    <mergeCell ref="C4:G4"/>
  </mergeCells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433D-DD5A-405C-BA27-06B89121422D}">
  <dimension ref="C3:G30"/>
  <sheetViews>
    <sheetView workbookViewId="0">
      <selection activeCell="K25" sqref="K25"/>
    </sheetView>
  </sheetViews>
  <sheetFormatPr defaultRowHeight="14.25"/>
  <cols>
    <col min="3" max="3" width="14.25" customWidth="1"/>
    <col min="4" max="4" width="13.5" customWidth="1"/>
    <col min="5" max="5" width="17.5" customWidth="1"/>
    <col min="6" max="6" width="12" customWidth="1"/>
    <col min="7" max="7" width="19.125" customWidth="1"/>
  </cols>
  <sheetData>
    <row r="3" spans="3:7">
      <c r="C3" t="s">
        <v>75</v>
      </c>
      <c r="D3" t="s">
        <v>76</v>
      </c>
      <c r="E3" t="s">
        <v>77</v>
      </c>
      <c r="F3" t="s">
        <v>78</v>
      </c>
      <c r="G3" t="s">
        <v>79</v>
      </c>
    </row>
    <row r="4" spans="3:7">
      <c r="C4">
        <v>24000</v>
      </c>
      <c r="D4">
        <v>2000</v>
      </c>
      <c r="E4">
        <v>2000</v>
      </c>
      <c r="F4">
        <v>16000</v>
      </c>
      <c r="G4">
        <v>4000</v>
      </c>
    </row>
    <row r="16" spans="3:7">
      <c r="D16" s="13" t="s">
        <v>91</v>
      </c>
      <c r="F16" t="s">
        <v>92</v>
      </c>
    </row>
    <row r="17" spans="3:7">
      <c r="C17" t="s">
        <v>80</v>
      </c>
      <c r="D17">
        <v>516</v>
      </c>
      <c r="G17">
        <v>700</v>
      </c>
    </row>
    <row r="18" spans="3:7">
      <c r="C18" t="s">
        <v>81</v>
      </c>
      <c r="D18" s="12">
        <v>600</v>
      </c>
      <c r="E18" t="s">
        <v>82</v>
      </c>
      <c r="F18">
        <f>600*10000/5/365</f>
        <v>3287.6712328767121</v>
      </c>
    </row>
    <row r="19" spans="3:7">
      <c r="C19" t="s">
        <v>83</v>
      </c>
      <c r="D19" s="12">
        <v>200</v>
      </c>
    </row>
    <row r="20" spans="3:7">
      <c r="C20" t="s">
        <v>95</v>
      </c>
      <c r="D20" s="12">
        <v>150</v>
      </c>
    </row>
    <row r="21" spans="3:7">
      <c r="C21" t="s">
        <v>84</v>
      </c>
      <c r="D21" s="12">
        <v>400</v>
      </c>
    </row>
    <row r="22" spans="3:7">
      <c r="C22" t="s">
        <v>85</v>
      </c>
      <c r="D22" s="12">
        <v>500</v>
      </c>
    </row>
    <row r="23" spans="3:7">
      <c r="C23" t="s">
        <v>86</v>
      </c>
      <c r="D23" s="12">
        <v>200</v>
      </c>
    </row>
    <row r="24" spans="3:7">
      <c r="C24" t="s">
        <v>87</v>
      </c>
      <c r="D24" s="12">
        <v>150</v>
      </c>
    </row>
    <row r="25" spans="3:7">
      <c r="C25" t="s">
        <v>88</v>
      </c>
      <c r="D25" s="12">
        <v>150</v>
      </c>
      <c r="F25">
        <f>150*10000/5/365</f>
        <v>821.91780821917803</v>
      </c>
    </row>
    <row r="26" spans="3:7">
      <c r="C26" t="s">
        <v>89</v>
      </c>
      <c r="D26" s="12">
        <v>20</v>
      </c>
    </row>
    <row r="27" spans="3:7">
      <c r="C27" t="s">
        <v>90</v>
      </c>
      <c r="D27" s="12">
        <v>15</v>
      </c>
    </row>
    <row r="28" spans="3:7">
      <c r="C28" t="s">
        <v>93</v>
      </c>
      <c r="D28" s="12">
        <v>300</v>
      </c>
    </row>
    <row r="29" spans="3:7">
      <c r="C29" t="s">
        <v>94</v>
      </c>
      <c r="D29" s="12">
        <v>60</v>
      </c>
      <c r="F29">
        <f>D29*10000/15</f>
        <v>40000</v>
      </c>
    </row>
    <row r="30" spans="3:7">
      <c r="D30">
        <f>SUM(D17:D29)</f>
        <v>3261</v>
      </c>
      <c r="G30">
        <f>SUM(G17:G28)</f>
        <v>700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01不动产</vt:lpstr>
      <vt:lpstr>02房屋情况</vt:lpstr>
      <vt:lpstr>03动物情况</vt:lpstr>
      <vt:lpstr>04其他临建情况</vt:lpstr>
      <vt:lpstr>05投资估算</vt:lpstr>
      <vt:lpstr>06收入预测</vt:lpstr>
      <vt:lpstr>推演数据</vt:lpstr>
      <vt:lpstr>'05投资估算'!Print_Area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ding</dc:creator>
  <cp:lastModifiedBy>wei ding</cp:lastModifiedBy>
  <cp:lastPrinted>2026-06-12T08:04:20Z</cp:lastPrinted>
  <dcterms:created xsi:type="dcterms:W3CDTF">2026-06-09T04:03:00Z</dcterms:created>
  <dcterms:modified xsi:type="dcterms:W3CDTF">2026-09-13T03:56:48Z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36F2489EA0E249C3AEA56EE81BC1A7FB_12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