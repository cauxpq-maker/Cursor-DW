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b12ec2af6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总览" sheetId="1" r:id="R87593a15ed994d6c"/>
    <x:sheet xmlns:r="http://schemas.openxmlformats.org/officeDocument/2006/relationships" name="参数设置" sheetId="2" r:id="R63b7aa30cb2745e0"/>
    <x:sheet xmlns:r="http://schemas.openxmlformats.org/officeDocument/2006/relationships" name="收入构成" sheetId="3" r:id="R957146e0737f4faa"/>
    <x:sheet xmlns:r="http://schemas.openxmlformats.org/officeDocument/2006/relationships" name="超级宝贝王" sheetId="4" r:id="Rab27677dd1d040d7"/>
    <x:sheet xmlns:r="http://schemas.openxmlformats.org/officeDocument/2006/relationships" name="成本利润" sheetId="5" r:id="R82c27e54387940e5"/>
    <x:sheet xmlns:r="http://schemas.openxmlformats.org/officeDocument/2006/relationships" name="容量校验" sheetId="6" r:id="R1eeb811209da4d6c"/>
    <x:sheet xmlns:r="http://schemas.openxmlformats.org/officeDocument/2006/relationships" name="无硬件增收" sheetId="7" r:id="Rd5e57ef7dadb420c"/>
    <x:sheet xmlns:r="http://schemas.openxmlformats.org/officeDocument/2006/relationships" name="口径说明" sheetId="8" r:id="R4ad53da56a4d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8">
    <x:font>
      <x:sz val="11"/>
      <x:name val="Carlito"/>
    </x:font>
    <x:font>
      <x:b/>
      <x:sz val="18"/>
      <x:color rgb="FFFFFFFF"/>
      <x:name val="Microsoft YaHei"/>
    </x:font>
    <x:font>
      <x:b/>
      <x:sz val="11"/>
      <x:color rgb="FFFFFFFF"/>
      <x:name val="Microsoft YaHei"/>
    </x:font>
    <x:font>
      <x:sz val="10"/>
      <x:color rgb="FF222222"/>
      <x:name val="Microsoft YaHei"/>
    </x:font>
    <x:font>
      <x:sz val="10"/>
      <x:color rgb="FF0070C0"/>
      <x:name val="Microsoft YaHei"/>
    </x:font>
    <x:font>
      <x:sz val="11"/>
      <x:name val="Microsoft YaHei"/>
    </x:font>
    <x:font>
      <x:b/>
      <x:sz val="10"/>
      <x:color rgb="FF222222"/>
      <x:name val="Microsoft YaHei"/>
    </x:font>
    <x:font>
      <x:b/>
      <x:sz val="11"/>
      <x:color rgb="FF0070C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6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1" fontId="3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201" fontId="6" fillId="5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201" fontId="3" fillId="6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200" fontId="3" fillId="5" borderId="2" xfId="0" applyNumberFormat="1" applyFont="1" applyFill="1" applyBorder="1" applyAlignment="1">
      <x:alignment vertical="center"/>
    </x:xf>
    <x:xf numFmtId="200" fontId="6" fillId="5" borderId="2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201" fontId="6" fillId="6" borderId="2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201" fontId="6" fillId="5" borderId="2" xfId="0" applyNumberFormat="1" applyFont="1" applyFill="1" applyBorder="1" applyAlignment="1">
      <x:alignment vertical="center" wrapText="1"/>
    </x:xf>
    <x:xf numFmtId="200" fontId="6" fillId="5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201" fontId="6" fillId="6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a5fd824704a1d" /><Relationship Type="http://schemas.openxmlformats.org/officeDocument/2006/relationships/theme" Target="/xl/theme/theme1.xml" Id="R5d9e8745b48a4f2a" /><Relationship Type="http://schemas.openxmlformats.org/officeDocument/2006/relationships/sharedStrings" Target="/xl/sharedStrings.xml" Id="R4691087fbbd34813" /><Relationship Type="http://schemas.openxmlformats.org/officeDocument/2006/relationships/worksheet" Target="/xl/worksheets/sheet1.xml" Id="R87593a15ed994d6c" /><Relationship Type="http://schemas.openxmlformats.org/officeDocument/2006/relationships/worksheet" Target="/xl/worksheets/sheet2.xml" Id="R63b7aa30cb2745e0" /><Relationship Type="http://schemas.openxmlformats.org/officeDocument/2006/relationships/worksheet" Target="/xl/worksheets/sheet3.xml" Id="R957146e0737f4faa" /><Relationship Type="http://schemas.openxmlformats.org/officeDocument/2006/relationships/worksheet" Target="/xl/worksheets/sheet4.xml" Id="Rab27677dd1d040d7" /><Relationship Type="http://schemas.openxmlformats.org/officeDocument/2006/relationships/worksheet" Target="/xl/worksheets/sheet5.xml" Id="R82c27e54387940e5" /><Relationship Type="http://schemas.openxmlformats.org/officeDocument/2006/relationships/worksheet" Target="/xl/worksheets/sheet6.xml" Id="R1eeb811209da4d6c" /><Relationship Type="http://schemas.openxmlformats.org/officeDocument/2006/relationships/worksheet" Target="/xl/worksheets/sheet7.xml" Id="Rd5e57ef7dadb420c" /><Relationship Type="http://schemas.openxmlformats.org/officeDocument/2006/relationships/worksheet" Target="/xl/worksheets/sheet8.xml" Id="R4ad53da56a4d42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585775e5b449ba" /><Relationship Type="http://schemas.openxmlformats.org/officeDocument/2006/relationships/chart" Target="/xl/drawings/charts/chart2.xml" Id="R1e41bc7f357344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收入、成本与经营贡献趋势（万元）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第1年</c:v>
          </c:tx>
          <c:cat>
            <c:strRef>
              <c:f>'经营总览'!$A$21:$A$23</c:f>
              <c:strCache>
                <c:ptCount val="0"/>
              </c:strCache>
            </c:strRef>
          </c:cat>
          <c:val>
            <c:numRef>
              <c:f>'经营总览'!$B$21:$B$23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第2年</c:v>
          </c:tx>
          <c:cat>
            <c:strRef>
              <c:f>'经营总览'!$A$21:$A$23</c:f>
              <c:strCache>
                <c:ptCount val="0"/>
              </c:strCache>
            </c:strRef>
          </c:cat>
          <c:val>
            <c:numRef>
              <c:f>'经营总览'!$C$21:$C$23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第3年</c:v>
          </c:tx>
          <c:cat>
            <c:strRef>
              <c:f>'经营总览'!$A$21:$A$23</c:f>
              <c:strCache>
                <c:ptCount val="0"/>
              </c:strCache>
            </c:strRef>
          </c:cat>
          <c:val>
            <c:numRef>
              <c:f>'经营总览'!$D$21:$D$23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稳定期</c:v>
          </c:tx>
          <c:cat>
            <c:strRef>
              <c:f>'经营总览'!$A$21:$A$23</c:f>
              <c:strCache>
                <c:ptCount val="0"/>
              </c:strCache>
            </c:strRef>
          </c:cat>
          <c:val>
            <c:numRef>
              <c:f>'经营总览'!$E$21:$E$23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稳定期主要收入项目构成（万元）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收入（万元）</c:v>
          </c:tx>
          <c:cat>
            <c:strRef>
              <c:f>'经营总览'!$A$27:$A$36</c:f>
              <c:strCache>
                <c:ptCount val="0"/>
              </c:strCache>
            </c:strRef>
          </c:cat>
          <c:val>
            <c:numRef>
              <c:f>'经营总览'!$B$27:$B$36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585775e5b449ba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41bc7f357344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f2dec7024a4f3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12" hidden="0" customWidth="1"/>
    <x:col min="8" max="8" width="34" hidden="0" customWidth="1"/>
  </x:cols>
  <x:sheetData>
    <x:row r="1" ht="34" customHeight="1">
      <x:c r="A1" s="4" t="str">
        <x:v>通化玉皇山公园经营收入与成本测算总览</x:v>
      </x:c>
      <x:c r="B1" s="4" t="str">
        <x:v>通化玉皇山公园经营收入与成本测算总览</x:v>
      </x:c>
      <x:c r="C1" s="4" t="str">
        <x:v>通化玉皇山公园经营收入与成本测算总览</x:v>
      </x:c>
      <x:c r="D1" s="4" t="str">
        <x:v>通化玉皇山公园经营收入与成本测算总览</x:v>
      </x:c>
      <x:c r="E1" s="4" t="str">
        <x:v>通化玉皇山公园经营收入与成本测算总览</x:v>
      </x:c>
      <x:c r="F1" s="4" t="str">
        <x:v>通化玉皇山公园经营收入与成本测算总览</x:v>
      </x:c>
      <x:c r="G1" s="4" t="str">
        <x:v>通化玉皇山公园经营收入与成本测算总览</x:v>
      </x:c>
      <x:c r="H1" s="4" t="str">
        <x:v>通化玉皇山公园经营收入与成本测算总览</x:v>
      </x:c>
      <x:c r="I1" s="4" t="str">
        <x:v>通化玉皇山公园经营收入与成本测算总览</x:v>
      </x:c>
      <x:c r="J1" s="4" t="str">
        <x:v>通化玉皇山公园经营收入与成本测算总览</x:v>
      </x:c>
      <x:c r="K1" s="4" t="str">
        <x:v>通化玉皇山公园经营收入与成本测算总览</x:v>
      </x:c>
      <x:c r="L1" s="4" t="str">
        <x:v>通化玉皇山公园经营收入与成本测算总览</x:v>
      </x:c>
    </x:row>
    <x:row r="2" ht="34" customHeight="1">
      <x:c r="A2" s="4" t="str">
        <x:v>通化玉皇山公园经营收入与成本测算总览</x:v>
      </x:c>
      <x:c r="B2" s="4" t="str">
        <x:v>通化玉皇山公园经营收入与成本测算总览</x:v>
      </x:c>
      <x:c r="C2" s="4" t="str">
        <x:v>通化玉皇山公园经营收入与成本测算总览</x:v>
      </x:c>
      <x:c r="D2" s="4" t="str">
        <x:v>通化玉皇山公园经营收入与成本测算总览</x:v>
      </x:c>
      <x:c r="E2" s="4" t="str">
        <x:v>通化玉皇山公园经营收入与成本测算总览</x:v>
      </x:c>
      <x:c r="F2" s="4" t="str">
        <x:v>通化玉皇山公园经营收入与成本测算总览</x:v>
      </x:c>
      <x:c r="G2" s="4" t="str">
        <x:v>通化玉皇山公园经营收入与成本测算总览</x:v>
      </x:c>
      <x:c r="H2" s="4" t="str">
        <x:v>通化玉皇山公园经营收入与成本测算总览</x:v>
      </x:c>
      <x:c r="I2" s="4" t="str">
        <x:v>通化玉皇山公园经营收入与成本测算总览</x:v>
      </x:c>
      <x:c r="J2" s="4" t="str">
        <x:v>通化玉皇山公园经营收入与成本测算总览</x:v>
      </x:c>
      <x:c r="K2" s="4" t="str">
        <x:v>通化玉皇山公园经营收入与成本测算总览</x:v>
      </x:c>
      <x:c r="L2" s="4" t="str">
        <x:v>通化玉皇山公园经营收入与成本测算总览</x:v>
      </x:c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>
      <x:c r="A4" s="10" t="str">
        <x:v>关键指标</x:v>
      </x:c>
      <x:c r="B4" s="10" t="str">
        <x:v>第1年</x:v>
      </x:c>
      <x:c r="C4" s="10" t="str">
        <x:v>第2年</x:v>
      </x:c>
      <x:c r="D4" s="10" t="str">
        <x:v>第3年</x:v>
      </x:c>
      <x:c r="E4" s="10" t="str">
        <x:v>稳定期</x:v>
      </x:c>
      <x:c r="F4" s="10" t="str">
        <x:v>说明</x:v>
      </x:c>
      <x:c r="G4" s="10" t="str">
        <x:v>状态</x:v>
      </x:c>
      <x:c r="H4" s="10" t="str">
        <x:v>关键结论</x:v>
      </x:c>
      <x:c r="I4" s="21"/>
      <x:c r="J4" s="21"/>
      <x:c r="K4" s="21"/>
      <x:c r="L4" s="21"/>
    </x:row>
    <x:row r="5">
      <x:c r="A5" s="27" t="str">
        <x:v>入园人次（万人）</x:v>
      </x:c>
      <x:c r="B5" s="34" t="n">
        <x:f>'参数设置'!B5</x:f>
        <x:v>50</x:v>
      </x:c>
      <x:c r="C5" s="34" t="n">
        <x:f>'参数设置'!C5</x:f>
        <x:v>60</x:v>
      </x:c>
      <x:c r="D5" s="34" t="n">
        <x:f>'参数设置'!D5</x:f>
        <x:v>75</x:v>
      </x:c>
      <x:c r="E5" s="34" t="n">
        <x:f>'参数设置'!E5</x:f>
        <x:v>80</x:v>
      </x:c>
      <x:c r="F5" s="27" t="str">
        <x:v>保持原人流目标</x:v>
      </x:c>
      <x:c r="G5" s="41" t="str">
        <x:v>正常</x:v>
      </x:c>
      <x:c r="H5" s="27" t="str">
        <x:v>稳定期80万人</x:v>
      </x:c>
      <x:c r="I5" s="21"/>
      <x:c r="J5" s="21"/>
      <x:c r="K5" s="21"/>
      <x:c r="L5" s="21"/>
    </x:row>
    <x:row r="6">
      <x:c r="A6" s="27" t="str">
        <x:v>营业收入（万元）</x:v>
      </x:c>
      <x:c r="B6" s="34" t="n">
        <x:f>'收入构成'!D28</x:f>
        <x:v>2972.4849999945</x:v>
      </x:c>
      <x:c r="C6" s="34" t="n">
        <x:f>'收入构成'!E28</x:f>
        <x:v>3999.999999989</x:v>
      </x:c>
      <x:c r="D6" s="34" t="n">
        <x:f>'收入构成'!F28</x:f>
        <x:v>5000</x:v>
      </x:c>
      <x:c r="E6" s="34" t="n">
        <x:f>'收入构成'!G28</x:f>
        <x:v>5000</x:v>
      </x:c>
      <x:c r="F6" s="27" t="str">
        <x:v>项目收入明细汇总</x:v>
      </x:c>
      <x:c r="G6" s="41" t="str">
        <x:v>达标</x:v>
      </x:c>
      <x:c r="H6" s="27" t="str">
        <x:v>第3年达到5,000万元</x:v>
      </x:c>
      <x:c r="I6" s="21"/>
      <x:c r="J6" s="21"/>
      <x:c r="K6" s="21"/>
      <x:c r="L6" s="21"/>
    </x:row>
    <x:row r="7">
      <x:c r="A7" s="27" t="str">
        <x:v>同比增长</x:v>
      </x:c>
      <x:c r="B7" s="33"/>
      <x:c r="C7" s="33" t="n">
        <x:f>C6/B6-1</x:f>
        <x:v>0.34567541972336335</x:v>
      </x:c>
      <x:c r="D7" s="33" t="n">
        <x:f>D6/C6-1</x:f>
        <x:v>0.2500000000034375</x:v>
      </x:c>
      <x:c r="E7" s="33" t="n">
        <x:f>E6/D6-1</x:f>
        <x:v>0</x:v>
      </x:c>
      <x:c r="F7" s="27" t="str">
        <x:v>前三年高速增长</x:v>
      </x:c>
      <x:c r="G7" s="41" t="str">
        <x:v>正常</x:v>
      </x:c>
      <x:c r="H7" s="27" t="str">
        <x:v>34.6%→25.0%</x:v>
      </x:c>
      <x:c r="I7" s="21"/>
      <x:c r="J7" s="21"/>
      <x:c r="K7" s="21"/>
      <x:c r="L7" s="21"/>
    </x:row>
    <x:row r="8">
      <x:c r="A8" s="27" t="str">
        <x:v>全客流人均贡献（元）</x:v>
      </x:c>
      <x:c r="B8" s="34" t="n">
        <x:f>B6/B5</x:f>
        <x:v>59.44969999989</x:v>
      </x:c>
      <x:c r="C8" s="34" t="n">
        <x:f>C6/C5</x:f>
        <x:v>66.66666666648334</x:v>
      </x:c>
      <x:c r="D8" s="34" t="n">
        <x:f>D6/D5</x:f>
        <x:v>66.66666666666667</x:v>
      </x:c>
      <x:c r="E8" s="34" t="n">
        <x:f>E6/E5</x:f>
        <x:v>62.5</x:v>
      </x:c>
      <x:c r="F8" s="27" t="str">
        <x:v>收入÷总客流</x:v>
      </x:c>
      <x:c r="G8" s="41" t="str">
        <x:v>正常</x:v>
      </x:c>
      <x:c r="H8" s="27" t="str">
        <x:v>控制在约59—67元/人</x:v>
      </x:c>
      <x:c r="I8" s="21"/>
      <x:c r="J8" s="21"/>
      <x:c r="K8" s="21"/>
      <x:c r="L8" s="21"/>
    </x:row>
    <x:row r="9">
      <x:c r="A9" s="27" t="str">
        <x:v>经营贡献（万元）</x:v>
      </x:c>
      <x:c r="B9" s="34" t="n">
        <x:f>'成本利润'!B7</x:f>
        <x:v>978.9068954552845</x:v>
      </x:c>
      <x:c r="C9" s="34" t="n">
        <x:f>'成本利润'!C7</x:f>
        <x:v>1511.0892371799268</x:v>
      </x:c>
      <x:c r="D9" s="34" t="n">
        <x:f>'成本利润'!D7</x:f>
        <x:v>2108.5815199999993</x:v>
      </x:c>
      <x:c r="E9" s="34" t="n">
        <x:f>'成本利润'!E7</x:f>
        <x:v>2113.5815199999993</x:v>
      </x:c>
      <x:c r="F9" s="27" t="str">
        <x:v>收入扣除项目经营成本</x:v>
      </x:c>
      <x:c r="G9" s="41" t="str">
        <x:v>关注</x:v>
      </x:c>
      <x:c r="H9" s="27" t="str">
        <x:v>不含所得税及融资成本</x:v>
      </x:c>
      <x:c r="I9" s="21"/>
      <x:c r="J9" s="21"/>
      <x:c r="K9" s="21"/>
      <x:c r="L9" s="21"/>
    </x:row>
    <x:row r="10">
      <x:c r="A10" s="27" t="str">
        <x:v>经营贡献率</x:v>
      </x:c>
      <x:c r="B10" s="33" t="n">
        <x:f>'成本利润'!B8</x:f>
        <x:v>0.32932273685387675</x:v>
      </x:c>
      <x:c r="C10" s="33" t="n">
        <x:f>'成本利润'!C8</x:f>
        <x:v>0.37777230929602057</x:v>
      </x:c>
      <x:c r="D10" s="33" t="n">
        <x:f>'成本利润'!D8</x:f>
        <x:v>0.4217163039999999</x:v>
      </x:c>
      <x:c r="E10" s="33" t="n">
        <x:f>'成本利润'!E8</x:f>
        <x:v>0.4227163039999999</x:v>
      </x:c>
      <x:c r="F10" s="27" t="str">
        <x:v>经营贡献÷营业收入</x:v>
      </x:c>
      <x:c r="G10" s="41" t="str">
        <x:v>关注</x:v>
      </x:c>
      <x:c r="H10" s="27" t="str">
        <x:v>宝贝王首年处于培育期</x:v>
      </x:c>
      <x:c r="I10" s="21"/>
      <x:c r="J10" s="21"/>
      <x:c r="K10" s="21"/>
      <x:c r="L10" s="21"/>
    </x:row>
    <x:row r="11">
      <x:c r="A11" s="27" t="str">
        <x:v>容量校验</x:v>
      </x:c>
      <x:c r="B11" s="27" t="str">
        <x:v>—</x:v>
      </x:c>
      <x:c r="C11" s="27" t="str">
        <x:v>—</x:v>
      </x:c>
      <x:c r="D11" s="27" t="str">
        <x:v>—</x:v>
      </x:c>
      <x:c r="E11" s="27" t="str">
        <x:v>—</x:v>
      </x:c>
      <x:c r="F11" s="27" t="str">
        <x:v>详见容量校验表</x:v>
      </x:c>
      <x:c r="G11" s="41" t="str">
        <x:v>通过</x:v>
      </x:c>
      <x:c r="H11" s="27" t="str">
        <x:v>全部项目目标低于合理上限</x:v>
      </x:c>
      <x:c r="I11" s="21"/>
      <x:c r="J11" s="21"/>
      <x:c r="K11" s="21"/>
      <x:c r="L11" s="21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21"/>
      <x:c r="J12" s="21"/>
      <x:c r="K12" s="21"/>
      <x:c r="L12" s="21"/>
    </x:row>
    <x:row r="13">
      <x:c r="A13" s="10" t="str">
        <x:v>人流转化校验</x:v>
      </x:c>
      <x:c r="B13" s="10" t="str">
        <x:v>第1年</x:v>
      </x:c>
      <x:c r="C13" s="10" t="str">
        <x:v>第2年</x:v>
      </x:c>
      <x:c r="D13" s="10" t="str">
        <x:v>第3年</x:v>
      </x:c>
      <x:c r="E13" s="10" t="str">
        <x:v>稳定期</x:v>
      </x:c>
      <x:c r="F13" s="46"/>
      <x:c r="G13" s="46"/>
      <x:c r="H13" s="46"/>
      <x:c r="I13" s="21"/>
      <x:c r="J13" s="21"/>
      <x:c r="K13" s="21"/>
      <x:c r="L13" s="21"/>
    </x:row>
    <x:row r="14">
      <x:c r="A14" s="27" t="str">
        <x:v>总客流（万人）</x:v>
      </x:c>
      <x:c r="B14" s="34" t="n">
        <x:f>'参数设置'!B5</x:f>
        <x:v>50</x:v>
      </x:c>
      <x:c r="C14" s="34" t="n">
        <x:f>'参数设置'!C5</x:f>
        <x:v>60</x:v>
      </x:c>
      <x:c r="D14" s="34" t="n">
        <x:f>'参数设置'!D5</x:f>
        <x:v>75</x:v>
      </x:c>
      <x:c r="E14" s="34" t="n">
        <x:f>'参数设置'!E5</x:f>
        <x:v>80</x:v>
      </x:c>
      <x:c r="F14" s="46"/>
      <x:c r="G14" s="46"/>
      <x:c r="H14" s="46"/>
      <x:c r="I14" s="21"/>
      <x:c r="J14" s="21"/>
      <x:c r="K14" s="21"/>
      <x:c r="L14" s="21"/>
    </x:row>
    <x:row r="15">
      <x:c r="A15" s="27" t="str">
        <x:v>付费转化率</x:v>
      </x:c>
      <x:c r="B15" s="33" t="n">
        <x:f>'参数设置'!B6</x:f>
        <x:v>0.5</x:v>
      </x:c>
      <x:c r="C15" s="33" t="n">
        <x:f>'参数设置'!C6</x:f>
        <x:v>0.6</x:v>
      </x:c>
      <x:c r="D15" s="33" t="n">
        <x:f>'参数设置'!D6</x:f>
        <x:v>0.67</x:v>
      </x:c>
      <x:c r="E15" s="33" t="n">
        <x:f>'参数设置'!E6</x:f>
        <x:v>0.63</x:v>
      </x:c>
      <x:c r="F15" s="46"/>
      <x:c r="G15" s="46"/>
      <x:c r="H15" s="46"/>
      <x:c r="I15" s="21"/>
      <x:c r="J15" s="21"/>
      <x:c r="K15" s="21"/>
      <x:c r="L15" s="21"/>
    </x:row>
    <x:row r="16">
      <x:c r="A16" s="27" t="str">
        <x:v>付费人次（万人）</x:v>
      </x:c>
      <x:c r="B16" s="34" t="n">
        <x:f>'参数设置'!B7</x:f>
        <x:v>25</x:v>
      </x:c>
      <x:c r="C16" s="34" t="n">
        <x:f>'参数设置'!C7</x:f>
        <x:v>36</x:v>
      </x:c>
      <x:c r="D16" s="34" t="n">
        <x:f>'参数设置'!D7</x:f>
        <x:v>50.25</x:v>
      </x:c>
      <x:c r="E16" s="34" t="n">
        <x:f>'参数设置'!E7</x:f>
        <x:v>50.4</x:v>
      </x:c>
      <x:c r="F16" s="46"/>
      <x:c r="G16" s="46"/>
      <x:c r="H16" s="46"/>
      <x:c r="I16" s="21"/>
      <x:c r="J16" s="21"/>
      <x:c r="K16" s="21"/>
      <x:c r="L16" s="21"/>
    </x:row>
    <x:row r="17">
      <x:c r="A17" s="27" t="str">
        <x:v>付费客单价（元）</x:v>
      </x:c>
      <x:c r="B17" s="34" t="n">
        <x:f>'参数设置'!B10</x:f>
        <x:v>118.8994</x:v>
      </x:c>
      <x:c r="C17" s="34" t="n">
        <x:f>'参数设置'!C10</x:f>
        <x:v>111.11111111111111</x:v>
      </x:c>
      <x:c r="D17" s="34" t="n">
        <x:f>'参数设置'!D10</x:f>
        <x:v>99.50248756218906</x:v>
      </x:c>
      <x:c r="E17" s="34" t="n">
        <x:f>'参数设置'!E10</x:f>
        <x:v>99.2063492063492</x:v>
      </x:c>
      <x:c r="F17" s="46"/>
      <x:c r="G17" s="46"/>
      <x:c r="H17" s="46"/>
      <x:c r="I17" s="21"/>
      <x:c r="J17" s="21"/>
      <x:c r="K17" s="21"/>
      <x:c r="L17" s="21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21"/>
      <x:c r="J18" s="21"/>
      <x:c r="K18" s="21"/>
      <x:c r="L18" s="21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21"/>
      <x:c r="J19" s="21"/>
      <x:c r="K19" s="21"/>
      <x:c r="L19" s="21"/>
    </x:row>
    <x:row r="20">
      <x:c r="A20" s="10" t="str">
        <x:v>年度趋势</x:v>
      </x:c>
      <x:c r="B20" s="10" t="str">
        <x:v>第1年</x:v>
      </x:c>
      <x:c r="C20" s="10" t="str">
        <x:v>第2年</x:v>
      </x:c>
      <x:c r="D20" s="10" t="str">
        <x:v>第3年</x:v>
      </x:c>
      <x:c r="E20" s="10" t="str">
        <x:v>稳定期</x:v>
      </x:c>
      <x:c r="F20" s="46"/>
      <x:c r="G20" s="46"/>
      <x:c r="H20" s="46"/>
      <x:c r="I20" s="21"/>
      <x:c r="J20" s="21"/>
      <x:c r="K20" s="21"/>
      <x:c r="L20" s="21"/>
    </x:row>
    <x:row r="21">
      <x:c r="A21" s="27" t="str">
        <x:v>营业收入</x:v>
      </x:c>
      <x:c r="B21" s="34" t="n">
        <x:f>'成本利润'!B5</x:f>
        <x:v>2972.4849999945</x:v>
      </x:c>
      <x:c r="C21" s="34" t="n">
        <x:f>'成本利润'!C5</x:f>
        <x:v>3999.999999989</x:v>
      </x:c>
      <x:c r="D21" s="34" t="n">
        <x:f>'成本利润'!D5</x:f>
        <x:v>5000</x:v>
      </x:c>
      <x:c r="E21" s="34" t="n">
        <x:f>'成本利润'!E5</x:f>
        <x:v>5000</x:v>
      </x:c>
      <x:c r="F21" s="46"/>
      <x:c r="G21" s="46"/>
      <x:c r="H21" s="46"/>
      <x:c r="I21" s="21"/>
      <x:c r="J21" s="21"/>
      <x:c r="K21" s="21"/>
      <x:c r="L21" s="21"/>
    </x:row>
    <x:row r="22">
      <x:c r="A22" s="27" t="str">
        <x:v>经营成本</x:v>
      </x:c>
      <x:c r="B22" s="34" t="n">
        <x:f>'成本利润'!B6</x:f>
        <x:v>1993.5781045392155</x:v>
      </x:c>
      <x:c r="C22" s="34" t="n">
        <x:f>'成本利润'!C6</x:f>
        <x:v>2488.9107628090733</x:v>
      </x:c>
      <x:c r="D22" s="34" t="n">
        <x:f>'成本利润'!D6</x:f>
        <x:v>2891.4184800000007</x:v>
      </x:c>
      <x:c r="E22" s="34" t="n">
        <x:f>'成本利润'!E6</x:f>
        <x:v>2886.4184800000007</x:v>
      </x:c>
      <x:c r="F22" s="46"/>
      <x:c r="G22" s="46"/>
      <x:c r="H22" s="46"/>
      <x:c r="I22" s="21"/>
      <x:c r="J22" s="21"/>
      <x:c r="K22" s="21"/>
      <x:c r="L22" s="21"/>
    </x:row>
    <x:row r="23">
      <x:c r="A23" s="27" t="str">
        <x:v>经营贡献</x:v>
      </x:c>
      <x:c r="B23" s="34" t="n">
        <x:f>'成本利润'!B7</x:f>
        <x:v>978.9068954552845</x:v>
      </x:c>
      <x:c r="C23" s="34" t="n">
        <x:f>'成本利润'!C7</x:f>
        <x:v>1511.0892371799268</x:v>
      </x:c>
      <x:c r="D23" s="34" t="n">
        <x:f>'成本利润'!D7</x:f>
        <x:v>2108.5815199999993</x:v>
      </x:c>
      <x:c r="E23" s="34" t="n">
        <x:f>'成本利润'!E7</x:f>
        <x:v>2113.5815199999993</x:v>
      </x:c>
      <x:c r="F23" s="46"/>
      <x:c r="G23" s="46"/>
      <x:c r="H23" s="46"/>
      <x:c r="I23" s="21"/>
      <x:c r="J23" s="21"/>
      <x:c r="K23" s="21"/>
      <x:c r="L23" s="21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21"/>
      <x:c r="J24" s="21"/>
      <x:c r="K24" s="21"/>
      <x:c r="L24" s="21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21"/>
      <x:c r="J25" s="21"/>
      <x:c r="K25" s="21"/>
      <x:c r="L25" s="21"/>
    </x:row>
    <x:row r="26">
      <x:c r="A26" s="10" t="str">
        <x:v>稳定期主要项目</x:v>
      </x:c>
      <x:c r="B26" s="10" t="str">
        <x:v>收入（万元）</x:v>
      </x:c>
      <x:c r="C26" s="46"/>
      <x:c r="D26" s="46"/>
      <x:c r="E26" s="46"/>
      <x:c r="F26" s="46"/>
      <x:c r="G26" s="46"/>
      <x:c r="H26" s="46"/>
      <x:c r="I26" s="21"/>
      <x:c r="J26" s="21"/>
      <x:c r="K26" s="21"/>
      <x:c r="L26" s="21"/>
    </x:row>
    <x:row r="27">
      <x:c r="A27" s="27" t="str">
        <x:v>超级宝贝王</x:v>
      </x:c>
      <x:c r="B27" s="34" t="n">
        <x:f>'收入构成'!G6+'收入构成'!G7</x:f>
        <x:v>1387.7520000000002</x:v>
      </x:c>
      <x:c r="C27" s="46"/>
      <x:c r="D27" s="46"/>
      <x:c r="E27" s="46"/>
      <x:c r="F27" s="46"/>
      <x:c r="G27" s="46"/>
      <x:c r="H27" s="46"/>
      <x:c r="I27" s="21"/>
      <x:c r="J27" s="21"/>
      <x:c r="K27" s="21"/>
      <x:c r="L27" s="21"/>
    </x:row>
    <x:row r="28">
      <x:c r="A28" s="27" t="str">
        <x:v>萌宠马戏</x:v>
      </x:c>
      <x:c r="B28" s="34" t="n">
        <x:f>'收入构成'!G5</x:f>
        <x:v>800</x:v>
      </x:c>
      <x:c r="C28" s="46"/>
      <x:c r="D28" s="46"/>
      <x:c r="E28" s="46"/>
      <x:c r="F28" s="46"/>
      <x:c r="G28" s="46"/>
      <x:c r="H28" s="46"/>
      <x:c r="I28" s="21"/>
      <x:c r="J28" s="21"/>
      <x:c r="K28" s="21"/>
      <x:c r="L28" s="21"/>
    </x:row>
    <x:row r="29">
      <x:c r="A29" s="27" t="str">
        <x:v>公园文创礼品</x:v>
      </x:c>
      <x:c r="B29" s="34" t="n">
        <x:f>'收入构成'!G8</x:f>
        <x:v>420</x:v>
      </x:c>
      <x:c r="C29" s="46"/>
      <x:c r="D29" s="46"/>
      <x:c r="E29" s="46"/>
      <x:c r="F29" s="46"/>
      <x:c r="G29" s="46"/>
      <x:c r="H29" s="46"/>
      <x:c r="I29" s="21"/>
      <x:c r="J29" s="21"/>
      <x:c r="K29" s="21"/>
      <x:c r="L29" s="21"/>
    </x:row>
    <x:row r="30">
      <x:c r="A30" s="27" t="str">
        <x:v>市集/在地好物</x:v>
      </x:c>
      <x:c r="B30" s="34" t="n">
        <x:f>'收入构成'!G14</x:f>
        <x:v>300</x:v>
      </x:c>
      <x:c r="C30" s="46"/>
      <x:c r="D30" s="46"/>
      <x:c r="E30" s="46"/>
      <x:c r="F30" s="46"/>
      <x:c r="G30" s="46"/>
      <x:c r="H30" s="46"/>
      <x:c r="I30" s="21"/>
      <x:c r="J30" s="21"/>
      <x:c r="K30" s="21"/>
      <x:c r="L30" s="21"/>
    </x:row>
    <x:row r="31">
      <x:c r="A31" s="27" t="str">
        <x:v>森林剧场</x:v>
      </x:c>
      <x:c r="B31" s="34" t="n">
        <x:f>'收入构成'!G17</x:f>
        <x:v>240</x:v>
      </x:c>
      <x:c r="C31" s="46"/>
      <x:c r="D31" s="46"/>
      <x:c r="E31" s="46"/>
      <x:c r="F31" s="46"/>
      <x:c r="G31" s="46"/>
      <x:c r="H31" s="46"/>
      <x:c r="I31" s="21"/>
      <x:c r="J31" s="21"/>
      <x:c r="K31" s="21"/>
      <x:c r="L31" s="21"/>
    </x:row>
    <x:row r="32">
      <x:c r="A32" s="27" t="str">
        <x:v>夜游/主题活动</x:v>
      </x:c>
      <x:c r="B32" s="34" t="n">
        <x:f>'收入构成'!G25</x:f>
        <x:v>200</x:v>
      </x:c>
      <x:c r="C32" s="46"/>
      <x:c r="D32" s="46"/>
      <x:c r="E32" s="46"/>
      <x:c r="F32" s="46"/>
      <x:c r="G32" s="46"/>
      <x:c r="H32" s="46"/>
      <x:c r="I32" s="21"/>
      <x:c r="J32" s="21"/>
      <x:c r="K32" s="21"/>
      <x:c r="L32" s="21"/>
    </x:row>
    <x:row r="33">
      <x:c r="A33" s="27" t="str">
        <x:v>茶馆</x:v>
      </x:c>
      <x:c r="B33" s="34" t="n">
        <x:f>'收入构成'!G12</x:f>
        <x:v>190</x:v>
      </x:c>
      <x:c r="C33" s="46"/>
      <x:c r="D33" s="46"/>
      <x:c r="E33" s="46"/>
      <x:c r="F33" s="46"/>
      <x:c r="G33" s="46"/>
      <x:c r="H33" s="46"/>
      <x:c r="I33" s="21"/>
      <x:c r="J33" s="21"/>
      <x:c r="K33" s="21"/>
      <x:c r="L33" s="21"/>
    </x:row>
    <x:row r="34">
      <x:c r="A34" s="27" t="str">
        <x:v>园内交通</x:v>
      </x:c>
      <x:c r="B34" s="34" t="n">
        <x:f>'收入构成'!G23</x:f>
        <x:v>170</x:v>
      </x:c>
      <x:c r="C34" s="46"/>
      <x:c r="D34" s="46"/>
      <x:c r="E34" s="46"/>
      <x:c r="F34" s="46"/>
      <x:c r="G34" s="46"/>
      <x:c r="H34" s="46"/>
      <x:c r="I34" s="21"/>
      <x:c r="J34" s="21"/>
      <x:c r="K34" s="21"/>
      <x:c r="L34" s="21"/>
    </x:row>
    <x:row r="35">
      <x:c r="A35" s="27" t="str">
        <x:v>森林婚礼/宴会</x:v>
      </x:c>
      <x:c r="B35" s="34" t="n">
        <x:f>'收入构成'!G15</x:f>
        <x:v>160</x:v>
      </x:c>
      <x:c r="C35" s="46"/>
      <x:c r="D35" s="46"/>
      <x:c r="E35" s="46"/>
      <x:c r="F35" s="46"/>
      <x:c r="G35" s="46"/>
      <x:c r="H35" s="46"/>
      <x:c r="I35" s="21"/>
      <x:c r="J35" s="21"/>
      <x:c r="K35" s="21"/>
      <x:c r="L35" s="21"/>
    </x:row>
    <x:row r="36">
      <x:c r="A36" s="27" t="str">
        <x:v>素食餐厅</x:v>
      </x:c>
      <x:c r="B36" s="34" t="n">
        <x:f>'收入构成'!G13</x:f>
        <x:v>150</x:v>
      </x:c>
      <x:c r="C36" s="46"/>
      <x:c r="D36" s="46"/>
      <x:c r="E36" s="46"/>
      <x:c r="F36" s="46"/>
      <x:c r="G36" s="46"/>
      <x:c r="H36" s="46"/>
      <x:c r="I36" s="21"/>
      <x:c r="J36" s="21"/>
      <x:c r="K36" s="21"/>
      <x:c r="L36" s="21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21"/>
      <x:c r="J37" s="21"/>
      <x:c r="K37" s="21"/>
      <x:c r="L37" s="21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21"/>
      <x:c r="J38" s="21"/>
      <x:c r="K38" s="21"/>
      <x:c r="L38" s="21"/>
    </x:row>
    <x:row r="39">
      <x:c r="A39" s="10" t="str">
        <x:v>模型结论</x:v>
      </x:c>
      <x:c r="B39" s="10" t="str">
        <x:v>判断</x:v>
      </x:c>
      <x:c r="C39" s="10" t="str">
        <x:v>关键数字</x:v>
      </x:c>
      <x:c r="D39" s="10" t="str">
        <x:v>管理动作</x:v>
      </x:c>
      <x:c r="E39" s="10" t="str">
        <x:v>备注</x:v>
      </x:c>
      <x:c r="F39" s="46"/>
      <x:c r="G39" s="46"/>
      <x:c r="H39" s="46"/>
      <x:c r="I39" s="21"/>
      <x:c r="J39" s="21"/>
      <x:c r="K39" s="21"/>
      <x:c r="L39" s="21"/>
    </x:row>
    <x:row r="40">
      <x:c r="A40" s="27" t="str">
        <x:v>收入目标可实现</x:v>
      </x:c>
      <x:c r="B40" s="41" t="str">
        <x:v>通过</x:v>
      </x:c>
      <x:c r="C40" s="27" t="str">
        <x:v>2,972.49→4,000→5,000万元</x:v>
      </x:c>
      <x:c r="D40" s="27" t="str">
        <x:v>按月拆解、滚动复盘</x:v>
      </x:c>
      <x:c r="E40" s="27" t="str">
        <x:v>目标情景而非法律意义收益保证</x:v>
      </x:c>
      <x:c r="F40" s="46"/>
      <x:c r="G40" s="46"/>
      <x:c r="H40" s="46"/>
      <x:c r="I40" s="21"/>
      <x:c r="J40" s="21"/>
      <x:c r="K40" s="21"/>
      <x:c r="L40" s="21"/>
    </x:row>
    <x:row r="41">
      <x:c r="A41" s="27" t="str">
        <x:v>超级宝贝王成为第一收入引擎</x:v>
      </x:c>
      <x:c r="B41" s="41" t="str">
        <x:v>重点</x:v>
      </x:c>
      <x:c r="C41" s="27" t="str">
        <x:v>稳定期1,387.75万元（含二消）</x:v>
      </x:c>
      <x:c r="D41" s="27" t="str">
        <x:v>建立单独核销及分成台账</x:v>
      </x:c>
      <x:c r="E41" s="27" t="str">
        <x:v>万达10%仅计门票/体验流水</x:v>
      </x:c>
      <x:c r="F41" s="46"/>
      <x:c r="G41" s="46"/>
      <x:c r="H41" s="46"/>
      <x:c r="I41" s="21"/>
      <x:c r="J41" s="21"/>
      <x:c r="K41" s="21"/>
      <x:c r="L41" s="21"/>
    </x:row>
    <x:row r="42">
      <x:c r="A42" s="27" t="str">
        <x:v>餐饮目标未依赖异常翻台</x:v>
      </x:c>
      <x:c r="B42" s="41" t="str">
        <x:v>通过</x:v>
      </x:c>
      <x:c r="C42" s="27" t="str">
        <x:v>素食餐厅达到目标约需3.30次/日</x:v>
      </x:c>
      <x:c r="D42" s="27" t="str">
        <x:v>预约＋菜单工程＋错峰</x:v>
      </x:c>
      <x:c r="E42" s="27" t="str">
        <x:v>合理上限按4次/日</x:v>
      </x:c>
      <x:c r="F42" s="46"/>
      <x:c r="G42" s="46"/>
      <x:c r="H42" s="46"/>
      <x:c r="I42" s="21"/>
      <x:c r="J42" s="21"/>
      <x:c r="K42" s="21"/>
      <x:c r="L42" s="21"/>
    </x:row>
    <x:row r="43">
      <x:c r="A43" s="27" t="str">
        <x:v>旅拍保留并放大</x:v>
      </x:c>
      <x:c r="B43" s="41" t="str">
        <x:v>重点</x:v>
      </x:c>
      <x:c r="C43" s="27" t="str">
        <x:v>稳定期100万元</x:v>
      </x:c>
      <x:c r="D43" s="27" t="str">
        <x:v>标准套餐＋按单分佣</x:v>
      </x:c>
      <x:c r="E43" s="27" t="str">
        <x:v>不新增固定硬件</x:v>
      </x:c>
      <x:c r="F43" s="46"/>
      <x:c r="G43" s="46"/>
      <x:c r="H43" s="46"/>
      <x:c r="I43" s="21"/>
      <x:c r="J43" s="21"/>
      <x:c r="K43" s="21"/>
      <x:c r="L43" s="21"/>
    </x:row>
    <x:row r="44">
      <x:c r="A44" s="27" t="str">
        <x:v>无硬件增收已嵌入目标</x:v>
      </x:c>
      <x:c r="B44" s="41" t="str">
        <x:v>通过</x:v>
      </x:c>
      <x:c r="C44" s="27" t="str">
        <x:v>稳定期解释性增收1,030万元</x:v>
      </x:c>
      <x:c r="D44" s="27" t="str">
        <x:v>不得与项目收入再次加总</x:v>
      </x:c>
      <x:c r="E44" s="27" t="str">
        <x:v>避免重复计算</x:v>
      </x:c>
      <x:c r="F44" s="46"/>
      <x:c r="G44" s="46"/>
      <x:c r="H44" s="46"/>
      <x:c r="I44" s="21"/>
      <x:c r="J44" s="21"/>
      <x:c r="K44" s="21"/>
      <x:c r="L44" s="21"/>
    </x:row>
  </x:sheetData>
  <x:mergeCells>
    <x:mergeCell ref="A1:L2"/>
  </x:mergeCells>
  <x:pageMargins left="0.7" right="0.7" top="0.75" bottom="0.75" header="0.3" footer="0.3"/>
  <x:drawing xmlns:r="http://schemas.openxmlformats.org/officeDocument/2006/relationships" r:id="Raff2dec7024a4f34"/>
</x:worksheet>
</file>

<file path=xl/worksheets/sheet2.xml><?xml version="1.0" encoding="utf-8"?>
<x:worksheet xmlns:x="http://schemas.openxmlformats.org/spreadsheetml/2006/main">
  <x:sheetPr>
    <x:tabColor rgb="FFC6921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22" hidden="0" customWidth="1"/>
    <x:col min="5" max="5" width="42" hidden="0" customWidth="1"/>
    <x:col min="6" max="6" width="12" hidden="0" customWidth="1"/>
  </x:cols>
  <x:sheetData>
    <x:row r="1" ht="34" customHeight="1">
      <x:c r="A1" s="4" t="str">
        <x:v>通化玉皇山公园经营模型｜核心参数设置</x:v>
      </x:c>
      <x:c r="B1" s="4" t="str">
        <x:v>通化玉皇山公园经营模型｜核心参数设置</x:v>
      </x:c>
      <x:c r="C1" s="4" t="str">
        <x:v>通化玉皇山公园经营模型｜核心参数设置</x:v>
      </x:c>
      <x:c r="D1" s="4" t="str">
        <x:v>通化玉皇山公园经营模型｜核心参数设置</x:v>
      </x:c>
      <x:c r="E1" s="4" t="str">
        <x:v>通化玉皇山公园经营模型｜核心参数设置</x:v>
      </x:c>
      <x:c r="F1" s="4" t="str">
        <x:v>通化玉皇山公园经营模型｜核心参数设置</x:v>
      </x:c>
    </x:row>
    <x:row r="2" ht="34" customHeight="1">
      <x:c r="A2" s="4" t="str">
        <x:v>通化玉皇山公园经营模型｜核心参数设置</x:v>
      </x:c>
      <x:c r="B2" s="4" t="str">
        <x:v>通化玉皇山公园经营模型｜核心参数设置</x:v>
      </x:c>
      <x:c r="C2" s="4" t="str">
        <x:v>通化玉皇山公园经营模型｜核心参数设置</x:v>
      </x:c>
      <x:c r="D2" s="4" t="str">
        <x:v>通化玉皇山公园经营模型｜核心参数设置</x:v>
      </x:c>
      <x:c r="E2" s="4" t="str">
        <x:v>通化玉皇山公园经营模型｜核心参数设置</x:v>
      </x:c>
      <x:c r="F2" s="4" t="str">
        <x:v>通化玉皇山公园经营模型｜核心参数设置</x:v>
      </x:c>
    </x:row>
    <x:row r="3">
      <x:c r="A3" s="21"/>
      <x:c r="B3" s="21"/>
      <x:c r="C3" s="21"/>
      <x:c r="D3" s="21"/>
      <x:c r="E3" s="21"/>
      <x:c r="F3" s="21"/>
    </x:row>
    <x:row r="4">
      <x:c r="A4" s="10" t="str">
        <x:v>指标</x:v>
      </x:c>
      <x:c r="B4" s="10" t="str">
        <x:v>第1年</x:v>
      </x:c>
      <x:c r="C4" s="10" t="str">
        <x:v>第2年</x:v>
      </x:c>
      <x:c r="D4" s="10" t="str">
        <x:v>第3年</x:v>
      </x:c>
      <x:c r="E4" s="10" t="str">
        <x:v>稳定期</x:v>
      </x:c>
      <x:c r="F4" s="21"/>
    </x:row>
    <x:row r="5">
      <x:c r="A5" s="13" t="str">
        <x:v>入园人次（万人）</x:v>
      </x:c>
      <x:c r="B5" s="15" t="n">
        <x:v>50</x:v>
      </x:c>
      <x:c r="C5" s="15" t="n">
        <x:v>60</x:v>
      </x:c>
      <x:c r="D5" s="15" t="n">
        <x:v>75</x:v>
      </x:c>
      <x:c r="E5" s="15" t="n">
        <x:v>80</x:v>
      </x:c>
      <x:c r="F5" s="21"/>
    </x:row>
    <x:row r="6">
      <x:c r="A6" s="13" t="str">
        <x:v>付费转化率</x:v>
      </x:c>
      <x:c r="B6" s="16" t="n">
        <x:v>0.5</x:v>
      </x:c>
      <x:c r="C6" s="16" t="n">
        <x:v>0.6</x:v>
      </x:c>
      <x:c r="D6" s="16" t="n">
        <x:v>0.67</x:v>
      </x:c>
      <x:c r="E6" s="16" t="n">
        <x:v>0.63</x:v>
      </x:c>
      <x:c r="F6" s="21"/>
    </x:row>
    <x:row r="7">
      <x:c r="A7" s="13" t="str">
        <x:v>付费人次（万人）</x:v>
      </x:c>
      <x:c r="B7" s="18" t="n">
        <x:f>B5*B6</x:f>
        <x:v>25</x:v>
      </x:c>
      <x:c r="C7" s="18" t="n">
        <x:f>C5*C6</x:f>
        <x:v>36</x:v>
      </x:c>
      <x:c r="D7" s="18" t="n">
        <x:f>D5*D6</x:f>
        <x:v>50.25</x:v>
      </x:c>
      <x:c r="E7" s="18" t="n">
        <x:f>E5*E6</x:f>
        <x:v>50.4</x:v>
      </x:c>
      <x:c r="F7" s="21"/>
    </x:row>
    <x:row r="8">
      <x:c r="A8" s="13" t="str">
        <x:v>营业收入目标（万元）</x:v>
      </x:c>
      <x:c r="B8" s="19" t="n">
        <x:v>2972.485</x:v>
      </x:c>
      <x:c r="C8" s="19" t="n">
        <x:v>4000</x:v>
      </x:c>
      <x:c r="D8" s="19" t="n">
        <x:v>5000</x:v>
      </x:c>
      <x:c r="E8" s="19" t="n">
        <x:v>5000</x:v>
      </x:c>
      <x:c r="F8" s="21"/>
    </x:row>
    <x:row r="9">
      <x:c r="A9" s="13" t="str">
        <x:v>全客流人均贡献（元/人）</x:v>
      </x:c>
      <x:c r="B9" s="18" t="n">
        <x:f>B8/B5</x:f>
        <x:v>59.4497</x:v>
      </x:c>
      <x:c r="C9" s="18" t="n">
        <x:f>C8/C5</x:f>
        <x:v>66.66666666666667</x:v>
      </x:c>
      <x:c r="D9" s="18" t="n">
        <x:f>D8/D5</x:f>
        <x:v>66.66666666666667</x:v>
      </x:c>
      <x:c r="E9" s="18" t="n">
        <x:f>E8/E5</x:f>
        <x:v>62.5</x:v>
      </x:c>
      <x:c r="F9" s="21"/>
    </x:row>
    <x:row r="10">
      <x:c r="A10" s="13" t="str">
        <x:v>付费客单价（元/付费人）</x:v>
      </x:c>
      <x:c r="B10" s="18" t="n">
        <x:f>B8/B7</x:f>
        <x:v>118.8994</x:v>
      </x:c>
      <x:c r="C10" s="18" t="n">
        <x:f>C8/C7</x:f>
        <x:v>111.11111111111111</x:v>
      </x:c>
      <x:c r="D10" s="18" t="n">
        <x:f>D8/D7</x:f>
        <x:v>99.50248756218906</x:v>
      </x:c>
      <x:c r="E10" s="18" t="n">
        <x:f>E8/E7</x:f>
        <x:v>99.2063492063492</x:v>
      </x:c>
      <x:c r="F10" s="21"/>
    </x:row>
    <x:row r="11">
      <x:c r="A11" s="13" t="str">
        <x:v>营业收入同比</x:v>
      </x:c>
      <x:c r="B11" s="17"/>
      <x:c r="C11" s="17" t="n">
        <x:f>C8/B8-1</x:f>
        <x:v>0.3456754197245737</x:v>
      </x:c>
      <x:c r="D11" s="17" t="n">
        <x:f>D8/C8-1</x:f>
        <x:v>0.25</x:v>
      </x:c>
      <x:c r="E11" s="17" t="n">
        <x:f>E8/D8-1</x:f>
        <x:v>0</x:v>
      </x:c>
      <x:c r="F11" s="21"/>
    </x:row>
    <x:row r="12">
      <x:c r="A12" s="13" t="str">
        <x:v>固定成本投放系数</x:v>
      </x:c>
      <x:c r="B12" s="16" t="n">
        <x:v>0.8</x:v>
      </x:c>
      <x:c r="C12" s="16" t="n">
        <x:v>0.9</x:v>
      </x:c>
      <x:c r="D12" s="16" t="n">
        <x:v>1</x:v>
      </x:c>
      <x:c r="E12" s="16" t="n">
        <x:v>1</x:v>
      </x:c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10" t="str">
        <x:v>超级宝贝王及共用经营参数</x:v>
      </x:c>
      <x:c r="B15" s="10" t="str">
        <x:v>数值</x:v>
      </x:c>
      <x:c r="C15" s="21"/>
      <x:c r="D15" s="10" t="str">
        <x:v>已确认的计算原则</x:v>
      </x:c>
      <x:c r="E15" s="10" t="str">
        <x:v>处理方式</x:v>
      </x:c>
      <x:c r="F15" s="10" t="str">
        <x:v>状态</x:v>
      </x:c>
    </x:row>
    <x:row r="16">
      <x:c r="A16" s="13" t="str">
        <x:v>万达年度流水分成率（仅门票/体验）</x:v>
      </x:c>
      <x:c r="B16" s="16" t="n">
        <x:v>0.1</x:v>
      </x:c>
      <x:c r="C16" s="21"/>
      <x:c r="D16" s="13" t="str">
        <x:v>表6 F列收入</x:v>
      </x:c>
      <x:c r="E16" s="13" t="str">
        <x:v>直接作为项目经营收入，不二次扣分成</x:v>
      </x:c>
      <x:c r="F16" s="20" t="str">
        <x:v>已确认</x:v>
      </x:c>
    </x:row>
    <x:row r="17">
      <x:c r="A17" s="13" t="str">
        <x:v>品牌使用费（10年一次性，万元）</x:v>
      </x:c>
      <x:c r="B17" s="19" t="n">
        <x:v>100</x:v>
      </x:c>
      <x:c r="C17" s="21"/>
      <x:c r="D17" s="13" t="str">
        <x:v>稳定期收入</x:v>
      </x:c>
      <x:c r="E17" s="13" t="str">
        <x:v>第3年达到5,000万元</x:v>
      </x:c>
      <x:c r="F17" s="20" t="str">
        <x:v>已确认</x:v>
      </x:c>
    </x:row>
    <x:row r="18">
      <x:c r="A18" s="13" t="str">
        <x:v>品牌期限（年）</x:v>
      </x:c>
      <x:c r="B18" s="19" t="n">
        <x:v>10</x:v>
      </x:c>
      <x:c r="C18" s="21"/>
      <x:c r="D18" s="13" t="str">
        <x:v>万达分成</x:v>
      </x:c>
      <x:c r="E18" s="13" t="str">
        <x:v>超级宝贝王门票/体验流水×10%</x:v>
      </x:c>
      <x:c r="F18" s="20" t="str">
        <x:v>已确认</x:v>
      </x:c>
    </x:row>
    <x:row r="19">
      <x:c r="A19" s="13" t="str">
        <x:v>年度品牌摊销（万元）</x:v>
      </x:c>
      <x:c r="B19" s="19" t="n">
        <x:v>10</x:v>
      </x:c>
      <x:c r="C19" s="21"/>
      <x:c r="D19" s="13" t="str">
        <x:v>品牌使用费</x:v>
      </x:c>
      <x:c r="E19" s="13" t="str">
        <x:v>10年一次性100万元；另按10年摊销展示</x:v>
      </x:c>
      <x:c r="F19" s="20" t="str">
        <x:v>已确认</x:v>
      </x:c>
    </x:row>
    <x:row r="20">
      <x:c r="A20" s="13" t="str">
        <x:v>超级宝贝王设备及建设投入（万元）</x:v>
      </x:c>
      <x:c r="B20" s="19" t="n">
        <x:v>939</x:v>
      </x:c>
      <x:c r="C20" s="21"/>
      <x:c r="D20" s="13" t="str">
        <x:v>宝贝王二消</x:v>
      </x:c>
      <x:c r="E20" s="13" t="str">
        <x:v>单列并从全园礼品口径拆分去重</x:v>
      </x:c>
      <x:c r="F20" s="20" t="str">
        <x:v>已确认</x:v>
      </x:c>
    </x:row>
    <x:row r="21">
      <x:c r="A21" s="13" t="str">
        <x:v>设备折旧年限（年）</x:v>
      </x:c>
      <x:c r="B21" s="19" t="n">
        <x:v>10</x:v>
      </x:c>
      <x:c r="C21" s="21"/>
      <x:c r="D21" s="13" t="str">
        <x:v>人工成本</x:v>
      </x:c>
      <x:c r="E21" s="13" t="str">
        <x:v>按12个月固定人员＋旺季弹性人员原则</x:v>
      </x:c>
      <x:c r="F21" s="20" t="str">
        <x:v>已确认</x:v>
      </x:c>
    </x:row>
    <x:row r="22">
      <x:c r="A22" s="13" t="str">
        <x:v>年度设备折旧（万元）</x:v>
      </x:c>
      <x:c r="B22" s="19" t="n">
        <x:v>93.9</x:v>
      </x:c>
      <x:c r="C22" s="21"/>
      <x:c r="D22" s="13" t="str">
        <x:v>新增硬件</x:v>
      </x:c>
      <x:c r="E22" s="13" t="str">
        <x:v>本轮增收措施不增加硬件建设</x:v>
      </x:c>
      <x:c r="F22" s="20" t="str">
        <x:v>已确认</x:v>
      </x:c>
    </x:row>
    <x:row r="23">
      <x:c r="A23" s="13" t="str">
        <x:v>线上客流占一般客流比例</x:v>
      </x:c>
      <x:c r="B23" s="16" t="n">
        <x:v>0.7</x:v>
      </x:c>
      <x:c r="C23" s="21"/>
      <x:c r="D23" s="21"/>
      <x:c r="E23" s="21"/>
      <x:c r="F23" s="21"/>
    </x:row>
    <x:row r="24">
      <x:c r="A24" s="13" t="str">
        <x:v>线上渠道佣金率</x:v>
      </x:c>
      <x:c r="B24" s="16" t="n">
        <x:v>0.1</x:v>
      </x:c>
      <x:c r="C24" s="21"/>
      <x:c r="D24" s="21"/>
      <x:c r="E24" s="21"/>
      <x:c r="F24" s="21"/>
    </x:row>
    <x:row r="25">
      <x:c r="A25" s="13" t="str">
        <x:v>日常营销费率（门票流水）</x:v>
      </x:c>
      <x:c r="B25" s="16" t="n">
        <x:v>0.05</x:v>
      </x:c>
      <x:c r="C25" s="21"/>
      <x:c r="D25" s="21"/>
      <x:c r="E25" s="21"/>
      <x:c r="F25" s="21"/>
    </x:row>
    <x:row r="26">
      <x:c r="A26" s="13" t="str">
        <x:v>销售提成率（宝贝王总流水）</x:v>
      </x:c>
      <x:c r="B26" s="16" t="n">
        <x:v>0.02</x:v>
      </x:c>
      <x:c r="C26" s="21"/>
      <x:c r="D26" s="21"/>
      <x:c r="E26" s="21"/>
      <x:c r="F26" s="21"/>
    </x:row>
    <x:row r="27">
      <x:c r="A27" s="13" t="str">
        <x:v>游乐维护费率（门票流水）</x:v>
      </x:c>
      <x:c r="B27" s="16" t="n">
        <x:v>0.1</x:v>
      </x:c>
      <x:c r="C27" s="21"/>
      <x:c r="D27" s="21"/>
      <x:c r="E27" s="21"/>
      <x:c r="F27" s="21"/>
    </x:row>
    <x:row r="28">
      <x:c r="A28" s="13" t="str">
        <x:v>宝贝王二消成本率</x:v>
      </x:c>
      <x:c r="B28" s="16" t="n">
        <x:v>0.6</x:v>
      </x:c>
      <x:c r="C28" s="21"/>
      <x:c r="D28" s="21"/>
      <x:c r="E28" s="21"/>
      <x:c r="F28" s="21"/>
    </x:row>
    <x:row r="29">
      <x:c r="A29" s="13" t="str">
        <x:v>宝贝王二消转化率</x:v>
      </x:c>
      <x:c r="B29" s="16" t="n">
        <x:v>0.3</x:v>
      </x:c>
      <x:c r="C29" s="21"/>
      <x:c r="D29" s="21"/>
      <x:c r="E29" s="21"/>
      <x:c r="F29" s="21"/>
    </x:row>
    <x:row r="30">
      <x:c r="A30" s="13" t="str">
        <x:v>宝贝王二消客单价（元）</x:v>
      </x:c>
      <x:c r="B30" s="19" t="n">
        <x:v>15</x:v>
      </x:c>
      <x:c r="C30" s="21"/>
      <x:c r="D30" s="21"/>
      <x:c r="E30" s="21"/>
      <x:c r="F30" s="21"/>
    </x:row>
    <x:row r="31">
      <x:c r="A31" s="13" t="str">
        <x:v>水电单耗（万元/万人次）</x:v>
      </x:c>
      <x:c r="B31" s="19" t="n">
        <x:v>1.801384326607227</x:v>
      </x:c>
      <x:c r="C31" s="21"/>
      <x:c r="D31" s="21"/>
      <x:c r="E31" s="21"/>
      <x:c r="F31" s="21"/>
    </x:row>
    <x:row r="32">
      <x:c r="A32" s="13" t="str">
        <x:v>餐饮翻台预警线（次/日）</x:v>
      </x:c>
      <x:c r="B32" s="19" t="n">
        <x:v>4</x:v>
      </x:c>
      <x:c r="C32" s="21"/>
      <x:c r="D32" s="21"/>
      <x:c r="E32" s="21"/>
      <x:c r="F32" s="21"/>
    </x:row>
    <x:row r="33">
      <x:c r="A33" s="13" t="str">
        <x:v>模型金额单位</x:v>
      </x:c>
      <x:c r="B33" s="15" t="str">
        <x:v>万元</x:v>
      </x:c>
      <x:c r="C33" s="21"/>
      <x:c r="D33" s="21"/>
      <x:c r="E33" s="21"/>
      <x:c r="F33" s="21"/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7" hidden="0" customWidth="1"/>
    <x:col min="2" max="2" width="15" hidden="0" customWidth="1"/>
    <x:col min="3" max="3" width="2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4" hidden="0" customWidth="1"/>
    <x:col min="11" max="11" width="32" hidden="0" customWidth="1"/>
  </x:cols>
  <x:sheetData>
    <x:row r="1" ht="34" customHeight="1">
      <x:c r="A1" s="4" t="str">
        <x:v>经营收入构成｜第3年达到稳定期5,000万元</x:v>
      </x:c>
      <x:c r="B1" s="4" t="str">
        <x:v>经营收入构成｜第3年达到稳定期5,000万元</x:v>
      </x:c>
      <x:c r="C1" s="4" t="str">
        <x:v>经营收入构成｜第3年达到稳定期5,000万元</x:v>
      </x:c>
      <x:c r="D1" s="4" t="str">
        <x:v>经营收入构成｜第3年达到稳定期5,000万元</x:v>
      </x:c>
      <x:c r="E1" s="4" t="str">
        <x:v>经营收入构成｜第3年达到稳定期5,000万元</x:v>
      </x:c>
      <x:c r="F1" s="4" t="str">
        <x:v>经营收入构成｜第3年达到稳定期5,000万元</x:v>
      </x:c>
      <x:c r="G1" s="4" t="str">
        <x:v>经营收入构成｜第3年达到稳定期5,000万元</x:v>
      </x:c>
      <x:c r="H1" s="4" t="str">
        <x:v>经营收入构成｜第3年达到稳定期5,000万元</x:v>
      </x:c>
      <x:c r="I1" s="4" t="str">
        <x:v>经营收入构成｜第3年达到稳定期5,000万元</x:v>
      </x:c>
      <x:c r="J1" s="4" t="str">
        <x:v>经营收入构成｜第3年达到稳定期5,000万元</x:v>
      </x:c>
      <x:c r="K1" s="4" t="str">
        <x:v>经营收入构成｜第3年达到稳定期5,000万元</x:v>
      </x:c>
    </x:row>
    <x:row r="2" ht="34" customHeight="1">
      <x:c r="A2" s="4" t="str">
        <x:v>经营收入构成｜第3年达到稳定期5,000万元</x:v>
      </x:c>
      <x:c r="B2" s="4" t="str">
        <x:v>经营收入构成｜第3年达到稳定期5,000万元</x:v>
      </x:c>
      <x:c r="C2" s="4" t="str">
        <x:v>经营收入构成｜第3年达到稳定期5,000万元</x:v>
      </x:c>
      <x:c r="D2" s="4" t="str">
        <x:v>经营收入构成｜第3年达到稳定期5,000万元</x:v>
      </x:c>
      <x:c r="E2" s="4" t="str">
        <x:v>经营收入构成｜第3年达到稳定期5,000万元</x:v>
      </x:c>
      <x:c r="F2" s="4" t="str">
        <x:v>经营收入构成｜第3年达到稳定期5,000万元</x:v>
      </x:c>
      <x:c r="G2" s="4" t="str">
        <x:v>经营收入构成｜第3年达到稳定期5,000万元</x:v>
      </x:c>
      <x:c r="H2" s="4" t="str">
        <x:v>经营收入构成｜第3年达到稳定期5,000万元</x:v>
      </x:c>
      <x:c r="I2" s="4" t="str">
        <x:v>经营收入构成｜第3年达到稳定期5,000万元</x:v>
      </x:c>
      <x:c r="J2" s="4" t="str">
        <x:v>经营收入构成｜第3年达到稳定期5,000万元</x:v>
      </x:c>
      <x:c r="K2" s="4" t="str">
        <x:v>经营收入构成｜第3年达到稳定期5,000万元</x:v>
      </x:c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>
      <x:c r="A4" s="10" t="str">
        <x:v>序号</x:v>
      </x:c>
      <x:c r="B4" s="10" t="str">
        <x:v>业态板块</x:v>
      </x:c>
      <x:c r="C4" s="10" t="str">
        <x:v>经营项目</x:v>
      </x:c>
      <x:c r="D4" s="10" t="str">
        <x:v>第1年</x:v>
      </x:c>
      <x:c r="E4" s="10" t="str">
        <x:v>第2年</x:v>
      </x:c>
      <x:c r="F4" s="10" t="str">
        <x:v>第3年</x:v>
      </x:c>
      <x:c r="G4" s="10" t="str">
        <x:v>稳定期</x:v>
      </x:c>
      <x:c r="H4" s="10" t="str">
        <x:v>稳定期占比</x:v>
      </x:c>
      <x:c r="I4" s="10" t="str">
        <x:v>两年复合增速</x:v>
      </x:c>
      <x:c r="J4" s="10" t="str">
        <x:v>核心增长逻辑</x:v>
      </x:c>
      <x:c r="K4" s="10" t="str">
        <x:v>口径/去重说明</x:v>
      </x:c>
    </x:row>
    <x:row r="5">
      <x:c r="A5" s="27" t="n">
        <x:v>1</x:v>
      </x:c>
      <x:c r="B5" s="27" t="str">
        <x:v>核心引流</x:v>
      </x:c>
      <x:c r="C5" s="27" t="str">
        <x:v>萌宠马戏</x:v>
      </x:c>
      <x:c r="D5" s="32" t="n">
        <x:v>750</x:v>
      </x:c>
      <x:c r="E5" s="32" t="n">
        <x:v>780</x:v>
      </x:c>
      <x:c r="F5" s="32" t="n">
        <x:v>800</x:v>
      </x:c>
      <x:c r="G5" s="32" t="n">
        <x:v>800</x:v>
      </x:c>
      <x:c r="H5" s="33" t="n">
        <x:f>G5/$G$28</x:f>
        <x:v>0.16</x:v>
      </x:c>
      <x:c r="I5" s="33" t="n">
        <x:f>IF(D5&gt;0,(F5/D5)^(1/2)-1,"新项目")</x:f>
        <x:v>0.03279555898864439</x:v>
      </x:c>
      <x:c r="J5" s="27" t="str">
        <x:v>成熟引流项目，价格与上座率优化</x:v>
      </x:c>
      <x:c r="K5" s="27" t="str">
        <x:v>表6收入直接使用</x:v>
      </x:c>
    </x:row>
    <x:row r="6">
      <x:c r="A6" s="27" t="n">
        <x:v>2</x:v>
      </x:c>
      <x:c r="B6" s="27" t="str">
        <x:v>亲子核心</x:v>
      </x:c>
      <x:c r="C6" s="27" t="str">
        <x:v>超级宝贝王门票/体验</x:v>
      </x:c>
      <x:c r="D6" s="34" t="n">
        <x:f>'超级宝贝王'!B11</x:f>
        <x:v>415.999999995</x:v>
      </x:c>
      <x:c r="E6" s="34" t="n">
        <x:f>'超级宝贝王'!C11</x:f>
        <x:v>849.99999999</x:v>
      </x:c>
      <x:c r="F6" s="34" t="n">
        <x:f>'超级宝贝王'!D11</x:f>
        <x:v>1234.3200000000002</x:v>
      </x:c>
      <x:c r="G6" s="34" t="n">
        <x:f>'超级宝贝王'!E11</x:f>
        <x:v>1234.3200000000002</x:v>
      </x:c>
      <x:c r="H6" s="33" t="n">
        <x:f>G6/$G$28</x:f>
        <x:v>0.24686400000000003</x:v>
      </x:c>
      <x:c r="I6" s="33" t="n">
        <x:f>IF(D6&gt;0,(F6/D6)^(1/2)-1,"新项目")</x:f>
        <x:v>0.7225316788526845</x:v>
      </x:c>
      <x:c r="J6" s="27" t="str">
        <x:v>研学客流＋一般客流双通道</x:v>
      </x:c>
      <x:c r="K6" s="27" t="str">
        <x:v>万达仅对此项计提10%流水分成</x:v>
      </x:c>
    </x:row>
    <x:row r="7">
      <x:c r="A7" s="27" t="n">
        <x:v>3</x:v>
      </x:c>
      <x:c r="B7" s="27" t="str">
        <x:v>亲子核心</x:v>
      </x:c>
      <x:c r="C7" s="27" t="str">
        <x:v>超级宝贝王园内二消</x:v>
      </x:c>
      <x:c r="D7" s="34" t="n">
        <x:f>'超级宝贝王'!B15</x:f>
        <x:v>49.0999999995</x:v>
      </x:c>
      <x:c r="E7" s="34" t="n">
        <x:f>'超级宝贝王'!C15</x:f>
        <x:v>99.999999999</x:v>
      </x:c>
      <x:c r="F7" s="34" t="n">
        <x:f>'超级宝贝王'!D15</x:f>
        <x:v>153.43200000000002</x:v>
      </x:c>
      <x:c r="G7" s="34" t="n">
        <x:f>'超级宝贝王'!E15</x:f>
        <x:v>153.43200000000002</x:v>
      </x:c>
      <x:c r="H7" s="33" t="n">
        <x:f>G7/$G$28</x:f>
        <x:v>0.030686400000000003</x:v>
      </x:c>
      <x:c r="I7" s="33" t="n">
        <x:f>IF(D7&gt;0,(F7/D7)^(1/2)-1,"新项目")</x:f>
        <x:v>0.7677352696992112</x:v>
      </x:c>
      <x:c r="J7" s="27" t="str">
        <x:v>30%转化×15元客单</x:v>
      </x:c>
      <x:c r="K7" s="27" t="str">
        <x:v>从全园礼品口径拆分去重</x:v>
      </x:c>
    </x:row>
    <x:row r="8">
      <x:c r="A8" s="27" t="n">
        <x:v>4</x:v>
      </x:c>
      <x:c r="B8" s="27" t="str">
        <x:v>文创零售</x:v>
      </x:c>
      <x:c r="C8" s="27" t="str">
        <x:v>公园文创礼品</x:v>
      </x:c>
      <x:c r="D8" s="32" t="n">
        <x:v>450.9</x:v>
      </x:c>
      <x:c r="E8" s="32" t="n">
        <x:v>430</x:v>
      </x:c>
      <x:c r="F8" s="32" t="n">
        <x:v>420</x:v>
      </x:c>
      <x:c r="G8" s="32" t="n">
        <x:v>420</x:v>
      </x:c>
      <x:c r="H8" s="33" t="n">
        <x:f>G8/$G$28</x:f>
        <x:v>0.084</x:v>
      </x:c>
      <x:c r="I8" s="33" t="n">
        <x:f>IF(D8&gt;0,(F8/D8)^(1/2)-1,"新项目")</x:f>
        <x:v>-0.03487286197711914</x:v>
      </x:c>
      <x:c r="J8" s="27" t="str">
        <x:v>SKU优化、联名及线上预售</x:v>
      </x:c>
      <x:c r="K8" s="27" t="str">
        <x:v>已扣除宝贝王园内二消</x:v>
      </x:c>
    </x:row>
    <x:row r="9">
      <x:c r="A9" s="27" t="n">
        <x:v>5</x:v>
      </x:c>
      <x:c r="B9" s="27" t="str">
        <x:v>亲子互动</x:v>
      </x:c>
      <x:c r="C9" s="27" t="str">
        <x:v>萌宠动物互动</x:v>
      </x:c>
      <x:c r="D9" s="32" t="n">
        <x:v>40</x:v>
      </x:c>
      <x:c r="E9" s="32" t="n">
        <x:v>60</x:v>
      </x:c>
      <x:c r="F9" s="32" t="n">
        <x:v>80</x:v>
      </x:c>
      <x:c r="G9" s="32" t="n">
        <x:v>80</x:v>
      </x:c>
      <x:c r="H9" s="33" t="n">
        <x:f>G9/$G$28</x:f>
        <x:v>0.016</x:v>
      </x:c>
      <x:c r="I9" s="33" t="n">
        <x:f>IF(D9&gt;0,(F9/D9)^(1/2)-1,"新项目")</x:f>
        <x:v>0.41421356237309515</x:v>
      </x:c>
      <x:c r="J9" s="27" t="str">
        <x:v>互动喂养与亲子课程</x:v>
      </x:c>
      <x:c r="K9" s="27" t="str">
        <x:v>不与马戏门票重复</x:v>
      </x:c>
    </x:row>
    <x:row r="10">
      <x:c r="A10" s="27" t="n">
        <x:v>6</x:v>
      </x:c>
      <x:c r="B10" s="27" t="str">
        <x:v>文化娱乐</x:v>
      </x:c>
      <x:c r="C10" s="27" t="str">
        <x:v>影院/沉浸内容</x:v>
      </x:c>
      <x:c r="D10" s="32" t="n">
        <x:v>90</x:v>
      </x:c>
      <x:c r="E10" s="32" t="n">
        <x:v>95</x:v>
      </x:c>
      <x:c r="F10" s="32" t="n">
        <x:v>100</x:v>
      </x:c>
      <x:c r="G10" s="32" t="n">
        <x:v>100</x:v>
      </x:c>
      <x:c r="H10" s="33" t="n">
        <x:f>G10/$G$28</x:f>
        <x:v>0.02</x:v>
      </x:c>
      <x:c r="I10" s="33" t="n">
        <x:f>IF(D10&gt;0,(F10/D10)^(1/2)-1,"新项目")</x:f>
        <x:v>0.05409255338945984</x:v>
      </x:c>
      <x:c r="J10" s="27" t="str">
        <x:v>排片及主题内容提升</x:v>
      </x:c>
      <x:c r="K10" s="27" t="str">
        <x:v>独立经营收入</x:v>
      </x:c>
    </x:row>
    <x:row r="11">
      <x:c r="A11" s="27" t="n">
        <x:v>7</x:v>
      </x:c>
      <x:c r="B11" s="27" t="str">
        <x:v>青年消费</x:v>
      </x:c>
      <x:c r="C11" s="27" t="str">
        <x:v>青年街区</x:v>
      </x:c>
      <x:c r="D11" s="32" t="n">
        <x:v>100.375</x:v>
      </x:c>
      <x:c r="E11" s="32" t="n">
        <x:v>110</x:v>
      </x:c>
      <x:c r="F11" s="32" t="n">
        <x:v>120</x:v>
      </x:c>
      <x:c r="G11" s="32" t="n">
        <x:v>120</x:v>
      </x:c>
      <x:c r="H11" s="33" t="n">
        <x:f>G11/$G$28</x:f>
        <x:v>0.024</x:v>
      </x:c>
      <x:c r="I11" s="33" t="n">
        <x:f>IF(D11&gt;0,(F11/D11)^(1/2)-1,"新项目")</x:f>
        <x:v>0.09339691418769247</x:v>
      </x:c>
      <x:c r="J11" s="27" t="str">
        <x:v>快闪、摊位及活动招商</x:v>
      </x:c>
      <x:c r="K11" s="27" t="str">
        <x:v>租赁与联营综合收入</x:v>
      </x:c>
    </x:row>
    <x:row r="12">
      <x:c r="A12" s="27" t="n">
        <x:v>8</x:v>
      </x:c>
      <x:c r="B12" s="27" t="str">
        <x:v>餐饮休闲</x:v>
      </x:c>
      <x:c r="C12" s="27" t="str">
        <x:v>茶馆</x:v>
      </x:c>
      <x:c r="D12" s="32" t="n">
        <x:v>151.11</x:v>
      </x:c>
      <x:c r="E12" s="32" t="n">
        <x:v>170</x:v>
      </x:c>
      <x:c r="F12" s="32" t="n">
        <x:v>190</x:v>
      </x:c>
      <x:c r="G12" s="32" t="n">
        <x:v>190</x:v>
      </x:c>
      <x:c r="H12" s="33" t="n">
        <x:f>G12/$G$28</x:f>
        <x:v>0.038</x:v>
      </x:c>
      <x:c r="I12" s="33" t="n">
        <x:f>IF(D12&gt;0,(F12/D12)^(1/2)-1,"新项目")</x:f>
        <x:v>0.12132162490815501</x:v>
      </x:c>
      <x:c r="J12" s="27" t="str">
        <x:v>预约制、包间和茶事活动</x:v>
      </x:c>
      <x:c r="K12" s="27" t="str">
        <x:v>容量校验约束</x:v>
      </x:c>
    </x:row>
    <x:row r="13">
      <x:c r="A13" s="27" t="n">
        <x:v>9</x:v>
      </x:c>
      <x:c r="B13" s="27" t="str">
        <x:v>餐饮休闲</x:v>
      </x:c>
      <x:c r="C13" s="27" t="str">
        <x:v>素食餐厅</x:v>
      </x:c>
      <x:c r="D13" s="32" t="n">
        <x:v>100</x:v>
      </x:c>
      <x:c r="E13" s="32" t="n">
        <x:v>125</x:v>
      </x:c>
      <x:c r="F13" s="32" t="n">
        <x:v>150</x:v>
      </x:c>
      <x:c r="G13" s="32" t="n">
        <x:v>150</x:v>
      </x:c>
      <x:c r="H13" s="33" t="n">
        <x:f>G13/$G$28</x:f>
        <x:v>0.03</x:v>
      </x:c>
      <x:c r="I13" s="33" t="n">
        <x:f>IF(D13&gt;0,(F13/D13)^(1/2)-1,"新项目")</x:f>
        <x:v>0.22474487139158894</x:v>
      </x:c>
      <x:c r="J13" s="27" t="str">
        <x:v>菜单工程、预约和错峰经营</x:v>
      </x:c>
      <x:c r="K13" s="27" t="str">
        <x:v>日翻台不突破4次预警线</x:v>
      </x:c>
    </x:row>
    <x:row r="14">
      <x:c r="A14" s="27" t="n">
        <x:v>10</x:v>
      </x:c>
      <x:c r="B14" s="27" t="str">
        <x:v>商业配套</x:v>
      </x:c>
      <x:c r="C14" s="27" t="str">
        <x:v>市集/在地好物</x:v>
      </x:c>
      <x:c r="D14" s="32" t="n">
        <x:v>165</x:v>
      </x:c>
      <x:c r="E14" s="32" t="n">
        <x:v>230</x:v>
      </x:c>
      <x:c r="F14" s="32" t="n">
        <x:v>300</x:v>
      </x:c>
      <x:c r="G14" s="32" t="n">
        <x:v>300</x:v>
      </x:c>
      <x:c r="H14" s="33" t="n">
        <x:f>G14/$G$28</x:f>
        <x:v>0.06</x:v>
      </x:c>
      <x:c r="I14" s="33" t="n">
        <x:f>IF(D14&gt;0,(F14/D14)^(1/2)-1,"新项目")</x:f>
        <x:v>0.3483997249264841</x:v>
      </x:c>
      <x:c r="J14" s="27" t="str">
        <x:v>摊位租金＋销售联营</x:v>
      </x:c>
      <x:c r="K14" s="27" t="str">
        <x:v>宝贝王二消已剔除</x:v>
      </x:c>
    </x:row>
    <x:row r="15">
      <x:c r="A15" s="27" t="n">
        <x:v>11</x:v>
      </x:c>
      <x:c r="B15" s="27" t="str">
        <x:v>活动经济</x:v>
      </x:c>
      <x:c r="C15" s="27" t="str">
        <x:v>森林婚礼/宴会</x:v>
      </x:c>
      <x:c r="D15" s="32" t="n">
        <x:v>96</x:v>
      </x:c>
      <x:c r="E15" s="32" t="n">
        <x:v>125</x:v>
      </x:c>
      <x:c r="F15" s="32" t="n">
        <x:v>160</x:v>
      </x:c>
      <x:c r="G15" s="32" t="n">
        <x:v>160</x:v>
      </x:c>
      <x:c r="H15" s="33" t="n">
        <x:f>G15/$G$28</x:f>
        <x:v>0.032</x:v>
      </x:c>
      <x:c r="I15" s="33" t="n">
        <x:f>IF(D15&gt;0,(F15/D15)^(1/2)-1,"新项目")</x:f>
        <x:v>0.2909944487358056</x:v>
      </x:c>
      <x:c r="J15" s="27" t="str">
        <x:v>婚礼、团建、发布会复用</x:v>
      </x:c>
      <x:c r="K15" s="27" t="str">
        <x:v>不新增固定建筑</x:v>
      </x:c>
    </x:row>
    <x:row r="16">
      <x:c r="A16" s="27" t="n">
        <x:v>12</x:v>
      </x:c>
      <x:c r="B16" s="27" t="str">
        <x:v>冬季产品</x:v>
      </x:c>
      <x:c r="C16" s="27" t="str">
        <x:v>冰雪项目</x:v>
      </x:c>
      <x:c r="D16" s="32" t="n">
        <x:v>20</x:v>
      </x:c>
      <x:c r="E16" s="32" t="n">
        <x:v>45</x:v>
      </x:c>
      <x:c r="F16" s="32" t="n">
        <x:v>70</x:v>
      </x:c>
      <x:c r="G16" s="32" t="n">
        <x:v>70</x:v>
      </x:c>
      <x:c r="H16" s="33" t="n">
        <x:f>G16/$G$28</x:f>
        <x:v>0.014</x:v>
      </x:c>
      <x:c r="I16" s="33" t="n">
        <x:f>IF(D16&gt;0,(F16/D16)^(1/2)-1,"新项目")</x:f>
        <x:v>0.8708286933869707</x:v>
      </x:c>
      <x:c r="J16" s="27" t="str">
        <x:v>与万峰雪场联票和错峰产品</x:v>
      </x:c>
      <x:c r="K16" s="27" t="str">
        <x:v>季节性收入</x:v>
      </x:c>
    </x:row>
    <x:row r="17">
      <x:c r="A17" s="27" t="n">
        <x:v>13</x:v>
      </x:c>
      <x:c r="B17" s="27" t="str">
        <x:v>演艺夜游</x:v>
      </x:c>
      <x:c r="C17" s="27" t="str">
        <x:v>森林剧场</x:v>
      </x:c>
      <x:c r="D17" s="32" t="n">
        <x:v>144</x:v>
      </x:c>
      <x:c r="E17" s="32" t="n">
        <x:v>180</x:v>
      </x:c>
      <x:c r="F17" s="32" t="n">
        <x:v>240</x:v>
      </x:c>
      <x:c r="G17" s="32" t="n">
        <x:v>240</x:v>
      </x:c>
      <x:c r="H17" s="33" t="n">
        <x:f>G17/$G$28</x:f>
        <x:v>0.048</x:v>
      </x:c>
      <x:c r="I17" s="33" t="n">
        <x:f>IF(D17&gt;0,(F17/D17)^(1/2)-1,"新项目")</x:f>
        <x:v>0.2909944487358056</x:v>
      </x:c>
      <x:c r="J17" s="27" t="str">
        <x:v>日间演艺＋夜间专场</x:v>
      </x:c>
      <x:c r="K17" s="27" t="str">
        <x:v>场次和上座率约束</x:v>
      </x:c>
    </x:row>
    <x:row r="18">
      <x:c r="A18" s="27" t="n">
        <x:v>14</x:v>
      </x:c>
      <x:c r="B18" s="27" t="str">
        <x:v>康养文化</x:v>
      </x:c>
      <x:c r="C18" s="27" t="str">
        <x:v>禅修体验</x:v>
      </x:c>
      <x:c r="D18" s="32" t="n">
        <x:v>20</x:v>
      </x:c>
      <x:c r="E18" s="32" t="n">
        <x:v>28</x:v>
      </x:c>
      <x:c r="F18" s="32" t="n">
        <x:v>35</x:v>
      </x:c>
      <x:c r="G18" s="32" t="n">
        <x:v>35</x:v>
      </x:c>
      <x:c r="H18" s="33" t="n">
        <x:f>G18/$G$28</x:f>
        <x:v>0.007</x:v>
      </x:c>
      <x:c r="I18" s="33" t="n">
        <x:f>IF(D18&gt;0,(F18/D18)^(1/2)-1,"新项目")</x:f>
        <x:v>0.32287565553229536</x:v>
      </x:c>
      <x:c r="J18" s="27" t="str">
        <x:v>小团预约与课程包</x:v>
      </x:c>
      <x:c r="K18" s="27" t="str">
        <x:v>轻运营</x:v>
      </x:c>
    </x:row>
    <x:row r="19">
      <x:c r="A19" s="27" t="n">
        <x:v>15</x:v>
      </x:c>
      <x:c r="B19" s="27" t="str">
        <x:v>餐饮休闲</x:v>
      </x:c>
      <x:c r="C19" s="27" t="str">
        <x:v>咖啡及轻餐</x:v>
      </x:c>
      <x:c r="D19" s="32" t="n">
        <x:v>50</x:v>
      </x:c>
      <x:c r="E19" s="32" t="n">
        <x:v>75</x:v>
      </x:c>
      <x:c r="F19" s="32" t="n">
        <x:v>100</x:v>
      </x:c>
      <x:c r="G19" s="32" t="n">
        <x:v>100</x:v>
      </x:c>
      <x:c r="H19" s="33" t="n">
        <x:f>G19/$G$28</x:f>
        <x:v>0.02</x:v>
      </x:c>
      <x:c r="I19" s="33" t="n">
        <x:f>IF(D19&gt;0,(F19/D19)^(1/2)-1,"新项目")</x:f>
        <x:v>0.41421356237309515</x:v>
      </x:c>
      <x:c r="J19" s="27" t="str">
        <x:v>高毛利饮品和组合套餐</x:v>
      </x:c>
      <x:c r="K19" s="27" t="str">
        <x:v>容量校验约束</x:v>
      </x:c>
    </x:row>
    <x:row r="20">
      <x:c r="A20" s="27" t="n">
        <x:v>16</x:v>
      </x:c>
      <x:c r="B20" s="27" t="str">
        <x:v>文化体验</x:v>
      </x:c>
      <x:c r="C20" s="27" t="str">
        <x:v>祈福产品</x:v>
      </x:c>
      <x:c r="D20" s="32" t="n">
        <x:v>30</x:v>
      </x:c>
      <x:c r="E20" s="32" t="n">
        <x:v>30</x:v>
      </x:c>
      <x:c r="F20" s="32" t="n">
        <x:v>30</x:v>
      </x:c>
      <x:c r="G20" s="32" t="n">
        <x:v>30</x:v>
      </x:c>
      <x:c r="H20" s="33" t="n">
        <x:f>G20/$G$28</x:f>
        <x:v>0.006</x:v>
      </x:c>
      <x:c r="I20" s="33" t="n">
        <x:f>IF(D20&gt;0,(F20/D20)^(1/2)-1,"新项目")</x:f>
        <x:v>0</x:v>
      </x:c>
      <x:c r="J20" s="27" t="str">
        <x:v>保持审慎，不扩大高估</x:v>
      </x:c>
      <x:c r="K20" s="27" t="str">
        <x:v>按游客转化测算</x:v>
      </x:c>
    </x:row>
    <x:row r="21">
      <x:c r="A21" s="27" t="n">
        <x:v>17</x:v>
      </x:c>
      <x:c r="B21" s="27" t="str">
        <x:v>住宿体验</x:v>
      </x:c>
      <x:c r="C21" s="27" t="str">
        <x:v>树屋/场地综合</x:v>
      </x:c>
      <x:c r="D21" s="32" t="n">
        <x:v>120</x:v>
      </x:c>
      <x:c r="E21" s="32" t="n">
        <x:v>120</x:v>
      </x:c>
      <x:c r="F21" s="32" t="n">
        <x:v>120</x:v>
      </x:c>
      <x:c r="G21" s="32" t="n">
        <x:v>120</x:v>
      </x:c>
      <x:c r="H21" s="33" t="n">
        <x:f>G21/$G$28</x:f>
        <x:v>0.024</x:v>
      </x:c>
      <x:c r="I21" s="33" t="n">
        <x:f>IF(D21&gt;0,(F21/D21)^(1/2)-1,"新项目")</x:f>
        <x:v>0</x:v>
      </x:c>
      <x:c r="J21" s="27" t="str">
        <x:v>房价和入住率优化</x:v>
      </x:c>
      <x:c r="K21" s="27" t="str">
        <x:v>不新增硬件数量</x:v>
      </x:c>
    </x:row>
    <x:row r="22">
      <x:c r="A22" s="27" t="n">
        <x:v>18</x:v>
      </x:c>
      <x:c r="B22" s="27" t="str">
        <x:v>特色消费</x:v>
      </x:c>
      <x:c r="C22" s="27" t="str">
        <x:v>洞藏酒/酒窖体验</x:v>
      </x:c>
      <x:c r="D22" s="32" t="n">
        <x:v>30</x:v>
      </x:c>
      <x:c r="E22" s="32" t="n">
        <x:v>50</x:v>
      </x:c>
      <x:c r="F22" s="32" t="n">
        <x:v>70</x:v>
      </x:c>
      <x:c r="G22" s="32" t="n">
        <x:v>70</x:v>
      </x:c>
      <x:c r="H22" s="33" t="n">
        <x:f>G22/$G$28</x:f>
        <x:v>0.014</x:v>
      </x:c>
      <x:c r="I22" s="33" t="n">
        <x:f>IF(D22&gt;0,(F22/D22)^(1/2)-1,"新项目")</x:f>
        <x:v>0.5275252316519468</x:v>
      </x:c>
      <x:c r="J22" s="27" t="str">
        <x:v>品鉴、定制与礼盒</x:v>
      </x:c>
      <x:c r="K22" s="27" t="str">
        <x:v>控制库存成本</x:v>
      </x:c>
    </x:row>
    <x:row r="23">
      <x:c r="A23" s="27" t="n">
        <x:v>19</x:v>
      </x:c>
      <x:c r="B23" s="27" t="str">
        <x:v>交通服务</x:v>
      </x:c>
      <x:c r="C23" s="27" t="str">
        <x:v>园内交通</x:v>
      </x:c>
      <x:c r="D23" s="32" t="n">
        <x:v>150</x:v>
      </x:c>
      <x:c r="E23" s="32" t="n">
        <x:v>160</x:v>
      </x:c>
      <x:c r="F23" s="32" t="n">
        <x:v>170</x:v>
      </x:c>
      <x:c r="G23" s="32" t="n">
        <x:v>170</x:v>
      </x:c>
      <x:c r="H23" s="33" t="n">
        <x:f>G23/$G$28</x:f>
        <x:v>0.034</x:v>
      </x:c>
      <x:c r="I23" s="33" t="n">
        <x:f>IF(D23&gt;0,(F23/D23)^(1/2)-1,"新项目")</x:f>
        <x:v>0.06458129484475417</x:v>
      </x:c>
      <x:c r="J23" s="27" t="str">
        <x:v>组合票和线路优化</x:v>
      </x:c>
      <x:c r="K23" s="27" t="str">
        <x:v>不新增车辆假设</x:v>
      </x:c>
    </x:row>
    <x:row r="24">
      <x:c r="A24" s="27" t="n">
        <x:v>20</x:v>
      </x:c>
      <x:c r="B24" s="27" t="str">
        <x:v>研学团建</x:v>
      </x:c>
      <x:c r="C24" s="27" t="str">
        <x:v>研学课程（园区公共部分）</x:v>
      </x:c>
      <x:c r="D24" s="32" t="n">
        <x:v>0</x:v>
      </x:c>
      <x:c r="E24" s="32" t="n">
        <x:v>80</x:v>
      </x:c>
      <x:c r="F24" s="32" t="n">
        <x:v>130</x:v>
      </x:c>
      <x:c r="G24" s="32" t="n">
        <x:v>130</x:v>
      </x:c>
      <x:c r="H24" s="33" t="n">
        <x:f>G24/$G$28</x:f>
        <x:v>0.026</x:v>
      </x:c>
      <x:c r="I24" s="33" t="str">
        <x:f>IF(D24&gt;0,(F24/D24)^(1/2)-1,"新项目")</x:f>
        <x:v>新项目</x:v>
      </x:c>
      <x:c r="J24" s="27" t="str">
        <x:v>校企合作和团体预售</x:v>
      </x:c>
      <x:c r="K24" s="27" t="str">
        <x:v>不含宝贝王内部研学门票</x:v>
      </x:c>
    </x:row>
    <x:row r="25">
      <x:c r="A25" s="27" t="n">
        <x:v>21</x:v>
      </x:c>
      <x:c r="B25" s="27" t="str">
        <x:v>夜间经济</x:v>
      </x:c>
      <x:c r="C25" s="27" t="str">
        <x:v>夜游/主题活动</x:v>
      </x:c>
      <x:c r="D25" s="32" t="n">
        <x:v>0</x:v>
      </x:c>
      <x:c r="E25" s="32" t="n">
        <x:v>100</x:v>
      </x:c>
      <x:c r="F25" s="32" t="n">
        <x:v>200</x:v>
      </x:c>
      <x:c r="G25" s="32" t="n">
        <x:v>200</x:v>
      </x:c>
      <x:c r="H25" s="33" t="n">
        <x:f>G25/$G$28</x:f>
        <x:v>0.04</x:v>
      </x:c>
      <x:c r="I25" s="33" t="str">
        <x:f>IF(D25&gt;0,(F25/D25)^(1/2)-1,"新项目")</x:f>
        <x:v>新项目</x:v>
      </x:c>
      <x:c r="J25" s="27" t="str">
        <x:v>灯光时段、主题节庆和票包</x:v>
      </x:c>
      <x:c r="K25" s="27" t="str">
        <x:v>利用既有场地</x:v>
      </x:c>
    </x:row>
    <x:row r="26">
      <x:c r="A26" s="27" t="n">
        <x:v>22</x:v>
      </x:c>
      <x:c r="B26" s="27" t="str">
        <x:v>内容消费</x:v>
      </x:c>
      <x:c r="C26" s="27" t="str">
        <x:v>旅拍</x:v>
      </x:c>
      <x:c r="D26" s="32" t="n">
        <x:v>0</x:v>
      </x:c>
      <x:c r="E26" s="32" t="n">
        <x:v>45</x:v>
      </x:c>
      <x:c r="F26" s="32" t="n">
        <x:v>100</x:v>
      </x:c>
      <x:c r="G26" s="32" t="n">
        <x:v>100</x:v>
      </x:c>
      <x:c r="H26" s="33" t="n">
        <x:f>G26/$G$28</x:f>
        <x:v>0.02</x:v>
      </x:c>
      <x:c r="I26" s="33" t="str">
        <x:f>IF(D26&gt;0,(F26/D26)^(1/2)-1,"新项目")</x:f>
        <x:v>新项目</x:v>
      </x:c>
      <x:c r="J26" s="27" t="str">
        <x:v>标准套餐、服化道合作和分佣</x:v>
      </x:c>
      <x:c r="K26" s="27" t="str">
        <x:v>重点保留的新增长项目</x:v>
      </x:c>
    </x:row>
    <x:row r="27">
      <x:c r="A27" s="27" t="n">
        <x:v>23</x:v>
      </x:c>
      <x:c r="B27" s="27" t="str">
        <x:v>康养服务</x:v>
      </x:c>
      <x:c r="C27" s="27" t="str">
        <x:v>轻康养/森林课程</x:v>
      </x:c>
      <x:c r="D27" s="32" t="n">
        <x:v>0</x:v>
      </x:c>
      <x:c r="E27" s="32" t="n">
        <x:v>12</x:v>
      </x:c>
      <x:c r="F27" s="32" t="n">
        <x:v>27.248</x:v>
      </x:c>
      <x:c r="G27" s="32" t="n">
        <x:v>27.248</x:v>
      </x:c>
      <x:c r="H27" s="33" t="n">
        <x:f>G27/$G$28</x:f>
        <x:v>0.005449600000000001</x:v>
      </x:c>
      <x:c r="I27" s="33" t="str">
        <x:f>IF(D27&gt;0,(F27/D27)^(1/2)-1,"新项目")</x:f>
        <x:v>新项目</x:v>
      </x:c>
      <x:c r="J27" s="27" t="str">
        <x:v>季节课程和企业客户</x:v>
      </x:c>
      <x:c r="K27" s="27" t="str">
        <x:v>不新增康养建筑</x:v>
      </x:c>
    </x:row>
    <x:row r="28">
      <x:c r="A28" s="35" t="str">
        <x:v>营业收入合计</x:v>
      </x:c>
      <x:c r="B28" s="35"/>
      <x:c r="C28" s="35"/>
      <x:c r="D28" s="36" t="n">
        <x:f>SUM(D5:D27)</x:f>
        <x:v>2972.4849999945</x:v>
      </x:c>
      <x:c r="E28" s="36" t="n">
        <x:f>SUM(E5:E27)</x:f>
        <x:v>3999.999999989</x:v>
      </x:c>
      <x:c r="F28" s="36" t="n">
        <x:f>SUM(F5:F27)</x:f>
        <x:v>5000</x:v>
      </x:c>
      <x:c r="G28" s="36" t="n">
        <x:f>SUM(G5:G27)</x:f>
        <x:v>5000</x:v>
      </x:c>
      <x:c r="H28" s="37" t="n">
        <x:f>SUM(H5:H27)</x:f>
        <x:v>1.0000000000000004</x:v>
      </x:c>
      <x:c r="I28" s="37"/>
      <x:c r="J28" s="35"/>
      <x:c r="K28" s="35"/>
    </x:row>
    <x:row r="29">
      <x:c r="A29" s="38" t="str">
        <x:v>与目标差额（应为0）</x:v>
      </x:c>
      <x:c r="B29" s="38"/>
      <x:c r="C29" s="38"/>
      <x:c r="D29" s="39" t="n">
        <x:f>ROUND(D28-'参数设置'!B8,6)</x:f>
        <x:v>0</x:v>
      </x:c>
      <x:c r="E29" s="39" t="n">
        <x:f>ROUND(E28-'参数设置'!C8,6)</x:f>
        <x:v>0</x:v>
      </x:c>
      <x:c r="F29" s="39" t="n">
        <x:f>ROUND(F28-'参数设置'!D8,6)</x:f>
        <x:v>0</x:v>
      </x:c>
      <x:c r="G29" s="39" t="n">
        <x:f>ROUND(G28-'参数设置'!E8,6)</x:f>
        <x:v>0</x:v>
      </x:c>
      <x:c r="H29" s="38"/>
      <x:c r="I29" s="38"/>
      <x:c r="J29" s="38"/>
      <x:c r="K29" s="38"/>
    </x:row>
  </x:sheetData>
  <x:mergeCells>
    <x:mergeCell ref="A1:K2"/>
    <x:mergeCell ref="A28:C28"/>
    <x:mergeCell ref="A29:C29"/>
  </x:mergeCells>
  <x:conditionalFormatting sqref="D29:G29">
    <x:cfRule type="cellIs" dxfId="2" priority="1" operator="not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6B6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超级宝贝王｜收入、万达分成与成本测算</x:v>
      </x:c>
      <x:c r="B1" s="4" t="str">
        <x:v>超级宝贝王｜收入、万达分成与成本测算</x:v>
      </x:c>
      <x:c r="C1" s="4" t="str">
        <x:v>超级宝贝王｜收入、万达分成与成本测算</x:v>
      </x:c>
      <x:c r="D1" s="4" t="str">
        <x:v>超级宝贝王｜收入、万达分成与成本测算</x:v>
      </x:c>
      <x:c r="E1" s="4" t="str">
        <x:v>超级宝贝王｜收入、万达分成与成本测算</x:v>
      </x:c>
      <x:c r="F1" s="4" t="str">
        <x:v>超级宝贝王｜收入、万达分成与成本测算</x:v>
      </x:c>
    </x:row>
    <x:row r="2" ht="34" customHeight="1">
      <x:c r="A2" s="4" t="str">
        <x:v>超级宝贝王｜收入、万达分成与成本测算</x:v>
      </x:c>
      <x:c r="B2" s="4" t="str">
        <x:v>超级宝贝王｜收入、万达分成与成本测算</x:v>
      </x:c>
      <x:c r="C2" s="4" t="str">
        <x:v>超级宝贝王｜收入、万达分成与成本测算</x:v>
      </x:c>
      <x:c r="D2" s="4" t="str">
        <x:v>超级宝贝王｜收入、万达分成与成本测算</x:v>
      </x:c>
      <x:c r="E2" s="4" t="str">
        <x:v>超级宝贝王｜收入、万达分成与成本测算</x:v>
      </x:c>
      <x:c r="F2" s="4" t="str">
        <x:v>超级宝贝王｜收入、万达分成与成本测算</x:v>
      </x:c>
    </x:row>
    <x:row r="3">
      <x:c r="A3" s="21"/>
      <x:c r="B3" s="21"/>
      <x:c r="C3" s="21"/>
      <x:c r="D3" s="21"/>
      <x:c r="E3" s="21"/>
      <x:c r="F3" s="21"/>
    </x:row>
    <x:row r="4">
      <x:c r="A4" s="10" t="str">
        <x:v>测算项目</x:v>
      </x:c>
      <x:c r="B4" s="10" t="str">
        <x:v>第1年</x:v>
      </x:c>
      <x:c r="C4" s="10" t="str">
        <x:v>第2年</x:v>
      </x:c>
      <x:c r="D4" s="10" t="str">
        <x:v>第3年</x:v>
      </x:c>
      <x:c r="E4" s="10" t="str">
        <x:v>稳定期</x:v>
      </x:c>
      <x:c r="F4" s="21"/>
    </x:row>
    <x:row r="5">
      <x:c r="A5" s="13" t="str">
        <x:v>研学客流（万人）</x:v>
      </x:c>
      <x:c r="B5" s="19" t="n">
        <x:v>5</x:v>
      </x:c>
      <x:c r="C5" s="19" t="n">
        <x:v>10</x:v>
      </x:c>
      <x:c r="D5" s="19" t="n">
        <x:v>20</x:v>
      </x:c>
      <x:c r="E5" s="19" t="n">
        <x:v>20</x:v>
      </x:c>
      <x:c r="F5" s="21"/>
    </x:row>
    <x:row r="6">
      <x:c r="A6" s="13" t="str">
        <x:v>研学客单价（元）</x:v>
      </x:c>
      <x:c r="B6" s="19" t="n">
        <x:v>30</x:v>
      </x:c>
      <x:c r="C6" s="19" t="n">
        <x:v>30</x:v>
      </x:c>
      <x:c r="D6" s="19" t="n">
        <x:v>30</x:v>
      </x:c>
      <x:c r="E6" s="19" t="n">
        <x:v>30</x:v>
      </x:c>
      <x:c r="F6" s="21"/>
    </x:row>
    <x:row r="7">
      <x:c r="A7" s="13" t="str">
        <x:v>研学收入（万元）</x:v>
      </x:c>
      <x:c r="B7" s="18" t="n">
        <x:f>B5*B6</x:f>
        <x:v>150</x:v>
      </x:c>
      <x:c r="C7" s="18" t="n">
        <x:f>C5*C6</x:f>
        <x:v>300</x:v>
      </x:c>
      <x:c r="D7" s="18" t="n">
        <x:f>D5*D6</x:f>
        <x:v>600</x:v>
      </x:c>
      <x:c r="E7" s="18" t="n">
        <x:f>E5*E6</x:f>
        <x:v>600</x:v>
      </x:c>
      <x:c r="F7" s="21"/>
    </x:row>
    <x:row r="8">
      <x:c r="A8" s="13" t="str">
        <x:v>一般客流（万人）</x:v>
      </x:c>
      <x:c r="B8" s="19" t="n">
        <x:v>5.911111111</x:v>
      </x:c>
      <x:c r="C8" s="19" t="n">
        <x:v>12.222222222</x:v>
      </x:c>
      <x:c r="D8" s="19" t="n">
        <x:v>14.096</x:v>
      </x:c>
      <x:c r="E8" s="19" t="n">
        <x:v>14.096</x:v>
      </x:c>
      <x:c r="F8" s="21"/>
    </x:row>
    <x:row r="9">
      <x:c r="A9" s="13" t="str">
        <x:v>一般客单价（元）</x:v>
      </x:c>
      <x:c r="B9" s="19" t="n">
        <x:v>45</x:v>
      </x:c>
      <x:c r="C9" s="19" t="n">
        <x:v>45</x:v>
      </x:c>
      <x:c r="D9" s="19" t="n">
        <x:v>45</x:v>
      </x:c>
      <x:c r="E9" s="19" t="n">
        <x:v>45</x:v>
      </x:c>
      <x:c r="F9" s="21"/>
    </x:row>
    <x:row r="10">
      <x:c r="A10" s="13" t="str">
        <x:v>一般客流收入（万元）</x:v>
      </x:c>
      <x:c r="B10" s="18" t="n">
        <x:f>B8*B9</x:f>
        <x:v>265.999999995</x:v>
      </x:c>
      <x:c r="C10" s="18" t="n">
        <x:f>C8*C9</x:f>
        <x:v>549.99999999</x:v>
      </x:c>
      <x:c r="D10" s="18" t="n">
        <x:f>D8*D9</x:f>
        <x:v>634.32</x:v>
      </x:c>
      <x:c r="E10" s="18" t="n">
        <x:f>E8*E9</x:f>
        <x:v>634.32</x:v>
      </x:c>
      <x:c r="F10" s="21"/>
    </x:row>
    <x:row r="11">
      <x:c r="A11" s="13" t="str">
        <x:v>门票/体验流水（万元）</x:v>
      </x:c>
      <x:c r="B11" s="18" t="n">
        <x:f>B7+B10</x:f>
        <x:v>415.999999995</x:v>
      </x:c>
      <x:c r="C11" s="18" t="n">
        <x:f>C7+C10</x:f>
        <x:v>849.99999999</x:v>
      </x:c>
      <x:c r="D11" s="18" t="n">
        <x:f>D7+D10</x:f>
        <x:v>1234.3200000000002</x:v>
      </x:c>
      <x:c r="E11" s="18" t="n">
        <x:f>E7+E10</x:f>
        <x:v>1234.3200000000002</x:v>
      </x:c>
      <x:c r="F11" s="21"/>
    </x:row>
    <x:row r="12">
      <x:c r="A12" s="13" t="str">
        <x:v>总客流（万人）</x:v>
      </x:c>
      <x:c r="B12" s="18" t="n">
        <x:f>B5+B8</x:f>
        <x:v>10.911111111</x:v>
      </x:c>
      <x:c r="C12" s="18" t="n">
        <x:f>C5+C8</x:f>
        <x:v>22.222222222</x:v>
      </x:c>
      <x:c r="D12" s="18" t="n">
        <x:f>D5+D8</x:f>
        <x:v>34.096000000000004</x:v>
      </x:c>
      <x:c r="E12" s="18" t="n">
        <x:f>E5+E8</x:f>
        <x:v>34.096000000000004</x:v>
      </x:c>
      <x:c r="F12" s="21"/>
    </x:row>
    <x:row r="13">
      <x:c r="A13" s="13" t="str">
        <x:v>二消转化率</x:v>
      </x:c>
      <x:c r="B13" s="17" t="n">
        <x:f>'参数设置'!$B$29</x:f>
        <x:v>0.3</x:v>
      </x:c>
      <x:c r="C13" s="17" t="n">
        <x:f>'参数设置'!$B$29</x:f>
        <x:v>0.3</x:v>
      </x:c>
      <x:c r="D13" s="17" t="n">
        <x:f>'参数设置'!$B$29</x:f>
        <x:v>0.3</x:v>
      </x:c>
      <x:c r="E13" s="17" t="n">
        <x:f>'参数设置'!$B$29</x:f>
        <x:v>0.3</x:v>
      </x:c>
      <x:c r="F13" s="21"/>
    </x:row>
    <x:row r="14">
      <x:c r="A14" s="13" t="str">
        <x:v>二消客单价（元）</x:v>
      </x:c>
      <x:c r="B14" s="18" t="n">
        <x:f>'参数设置'!$B$30</x:f>
        <x:v>15</x:v>
      </x:c>
      <x:c r="C14" s="18" t="n">
        <x:f>'参数设置'!$B$30</x:f>
        <x:v>15</x:v>
      </x:c>
      <x:c r="D14" s="18" t="n">
        <x:f>'参数设置'!$B$30</x:f>
        <x:v>15</x:v>
      </x:c>
      <x:c r="E14" s="18" t="n">
        <x:f>'参数设置'!$B$30</x:f>
        <x:v>15</x:v>
      </x:c>
      <x:c r="F14" s="21"/>
    </x:row>
    <x:row r="15">
      <x:c r="A15" s="13" t="str">
        <x:v>二消收入（万元）</x:v>
      </x:c>
      <x:c r="B15" s="18" t="n">
        <x:f>B12*B13*B14</x:f>
        <x:v>49.0999999995</x:v>
      </x:c>
      <x:c r="C15" s="18" t="n">
        <x:f>C12*C13*C14</x:f>
        <x:v>99.999999999</x:v>
      </x:c>
      <x:c r="D15" s="18" t="n">
        <x:f>D12*D13*D14</x:f>
        <x:v>153.43200000000002</x:v>
      </x:c>
      <x:c r="E15" s="18" t="n">
        <x:f>E12*E13*E14</x:f>
        <x:v>153.43200000000002</x:v>
      </x:c>
      <x:c r="F15" s="21"/>
    </x:row>
    <x:row r="16">
      <x:c r="A16" s="23" t="str">
        <x:v>营业收入合计（万元）</x:v>
      </x:c>
      <x:c r="B16" s="24" t="n">
        <x:f>B11+B15</x:f>
        <x:v>465.09999999449997</x:v>
      </x:c>
      <x:c r="C16" s="24" t="n">
        <x:f>C11+C15</x:f>
        <x:v>949.999999989</x:v>
      </x:c>
      <x:c r="D16" s="24" t="n">
        <x:f>D11+D15</x:f>
        <x:v>1387.7520000000002</x:v>
      </x:c>
      <x:c r="E16" s="24" t="n">
        <x:f>E11+E15</x:f>
        <x:v>1387.7520000000002</x:v>
      </x:c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10" t="str">
        <x:v>经营成本</x:v>
      </x:c>
      <x:c r="B18" s="10" t="str">
        <x:v>第1年</x:v>
      </x:c>
      <x:c r="C18" s="10" t="str">
        <x:v>第2年</x:v>
      </x:c>
      <x:c r="D18" s="10" t="str">
        <x:v>第3年</x:v>
      </x:c>
      <x:c r="E18" s="10" t="str">
        <x:v>稳定期</x:v>
      </x:c>
      <x:c r="F18" s="21"/>
    </x:row>
    <x:row r="19">
      <x:c r="A19" s="13" t="str">
        <x:v>万达流水分成（门票×10%）</x:v>
      </x:c>
      <x:c r="B19" s="18" t="n">
        <x:f>B11*'参数设置'!$B$16</x:f>
        <x:v>41.5999999995</x:v>
      </x:c>
      <x:c r="C19" s="18" t="n">
        <x:f>C11*'参数设置'!$B$16</x:f>
        <x:v>84.99999999900001</x:v>
      </x:c>
      <x:c r="D19" s="18" t="n">
        <x:f>D11*'参数设置'!$B$16</x:f>
        <x:v>123.43200000000002</x:v>
      </x:c>
      <x:c r="E19" s="18" t="n">
        <x:f>E11*'参数设置'!$B$16</x:f>
        <x:v>123.43200000000002</x:v>
      </x:c>
      <x:c r="F19" s="21"/>
    </x:row>
    <x:row r="20">
      <x:c r="A20" s="13" t="str">
        <x:v>线上渠道佣金</x:v>
      </x:c>
      <x:c r="B20" s="18" t="n">
        <x:f>B10*'参数设置'!$B$23*'参数设置'!$B$24</x:f>
        <x:v>18.619999999650002</x:v>
      </x:c>
      <x:c r="C20" s="18" t="n">
        <x:f>C10*'参数设置'!$B$23*'参数设置'!$B$24</x:f>
        <x:v>38.4999999993</x:v>
      </x:c>
      <x:c r="D20" s="18" t="n">
        <x:f>D10*'参数设置'!$B$23*'参数设置'!$B$24</x:f>
        <x:v>44.4024</x:v>
      </x:c>
      <x:c r="E20" s="18" t="n">
        <x:f>E10*'参数设置'!$B$23*'参数设置'!$B$24</x:f>
        <x:v>44.4024</x:v>
      </x:c>
      <x:c r="F20" s="21"/>
    </x:row>
    <x:row r="21">
      <x:c r="A21" s="13" t="str">
        <x:v>销售提成</x:v>
      </x:c>
      <x:c r="B21" s="18" t="n">
        <x:f>B16*'参数设置'!$B$26</x:f>
        <x:v>9.301999999889999</x:v>
      </x:c>
      <x:c r="C21" s="18" t="n">
        <x:f>C16*'参数设置'!$B$26</x:f>
        <x:v>18.99999999978</x:v>
      </x:c>
      <x:c r="D21" s="18" t="n">
        <x:f>D16*'参数设置'!$B$26</x:f>
        <x:v>27.755040000000005</x:v>
      </x:c>
      <x:c r="E21" s="18" t="n">
        <x:f>E16*'参数设置'!$B$26</x:f>
        <x:v>27.755040000000005</x:v>
      </x:c>
      <x:c r="F21" s="21"/>
    </x:row>
    <x:row r="22">
      <x:c r="A22" s="13" t="str">
        <x:v>游乐维护</x:v>
      </x:c>
      <x:c r="B22" s="18" t="n">
        <x:f>B11*'参数设置'!$B$27</x:f>
        <x:v>41.5999999995</x:v>
      </x:c>
      <x:c r="C22" s="18" t="n">
        <x:f>C11*'参数设置'!$B$27</x:f>
        <x:v>84.99999999900001</x:v>
      </x:c>
      <x:c r="D22" s="18" t="n">
        <x:f>D11*'参数设置'!$B$27</x:f>
        <x:v>123.43200000000002</x:v>
      </x:c>
      <x:c r="E22" s="18" t="n">
        <x:f>E11*'参数设置'!$B$27</x:f>
        <x:v>123.43200000000002</x:v>
      </x:c>
      <x:c r="F22" s="21"/>
    </x:row>
    <x:row r="23">
      <x:c r="A23" s="13" t="str">
        <x:v>二消商品成本</x:v>
      </x:c>
      <x:c r="B23" s="18" t="n">
        <x:f>B15*'参数设置'!$B$28</x:f>
        <x:v>29.4599999997</x:v>
      </x:c>
      <x:c r="C23" s="18" t="n">
        <x:f>C15*'参数设置'!$B$28</x:f>
        <x:v>59.999999999399996</x:v>
      </x:c>
      <x:c r="D23" s="18" t="n">
        <x:f>D15*'参数设置'!$B$28</x:f>
        <x:v>92.0592</x:v>
      </x:c>
      <x:c r="E23" s="18" t="n">
        <x:f>E15*'参数设置'!$B$28</x:f>
        <x:v>92.0592</x:v>
      </x:c>
      <x:c r="F23" s="21"/>
    </x:row>
    <x:row r="24">
      <x:c r="A24" s="13" t="str">
        <x:v>日常营销</x:v>
      </x:c>
      <x:c r="B24" s="18" t="n">
        <x:f>B11*'参数设置'!$B$25</x:f>
        <x:v>20.79999999975</x:v>
      </x:c>
      <x:c r="C24" s="18" t="n">
        <x:f>C11*'参数设置'!$B$25</x:f>
        <x:v>42.499999999500005</x:v>
      </x:c>
      <x:c r="D24" s="18" t="n">
        <x:f>D11*'参数设置'!$B$25</x:f>
        <x:v>61.71600000000001</x:v>
      </x:c>
      <x:c r="E24" s="18" t="n">
        <x:f>E11*'参数设置'!$B$25</x:f>
        <x:v>61.71600000000001</x:v>
      </x:c>
      <x:c r="F24" s="21"/>
    </x:row>
    <x:row r="25">
      <x:c r="A25" s="13" t="str">
        <x:v>开业/年度专项营销</x:v>
      </x:c>
      <x:c r="B25" s="19" t="n">
        <x:v>50</x:v>
      </x:c>
      <x:c r="C25" s="19" t="n">
        <x:v>30</x:v>
      </x:c>
      <x:c r="D25" s="19" t="n">
        <x:v>10</x:v>
      </x:c>
      <x:c r="E25" s="19" t="n">
        <x:v>5</x:v>
      </x:c>
      <x:c r="F25" s="21"/>
    </x:row>
    <x:row r="26">
      <x:c r="A26" s="13" t="str">
        <x:v>人工成本（12个月）</x:v>
      </x:c>
      <x:c r="B26" s="19" t="n">
        <x:v>216.72</x:v>
      </x:c>
      <x:c r="C26" s="19" t="n">
        <x:v>216.72</x:v>
      </x:c>
      <x:c r="D26" s="19" t="n">
        <x:v>216.72</x:v>
      </x:c>
      <x:c r="E26" s="19" t="n">
        <x:v>216.72</x:v>
      </x:c>
      <x:c r="F26" s="21"/>
    </x:row>
    <x:row r="27">
      <x:c r="A27" s="13" t="str">
        <x:v>水电能耗</x:v>
      </x:c>
      <x:c r="B27" s="18" t="n">
        <x:f>B12*'参数设置'!$B$31</x:f>
        <x:v>19.655104541225366</x:v>
      </x:c>
      <x:c r="C27" s="18" t="n">
        <x:f>C12*'参数设置'!$B$31</x:f>
        <x:v>40.030762813093624</x:v>
      </x:c>
      <x:c r="D27" s="18" t="n">
        <x:f>D12*'参数设置'!$B$31</x:f>
        <x:v>61.420000000000016</x:v>
      </x:c>
      <x:c r="E27" s="18" t="n">
        <x:f>E12*'参数设置'!$B$31</x:f>
        <x:v>61.420000000000016</x:v>
      </x:c>
      <x:c r="F27" s="21"/>
    </x:row>
    <x:row r="28">
      <x:c r="A28" s="13" t="str">
        <x:v>保安保洁</x:v>
      </x:c>
      <x:c r="B28" s="19" t="n">
        <x:v>30</x:v>
      </x:c>
      <x:c r="C28" s="19" t="n">
        <x:v>34</x:v>
      </x:c>
      <x:c r="D28" s="19" t="n">
        <x:v>38.64</x:v>
      </x:c>
      <x:c r="E28" s="19" t="n">
        <x:v>38.64</x:v>
      </x:c>
      <x:c r="F28" s="21"/>
    </x:row>
    <x:row r="29">
      <x:c r="A29" s="23" t="str">
        <x:v>经营成本合计</x:v>
      </x:c>
      <x:c r="B29" s="24" t="n">
        <x:f>SUM(B19:B28)</x:f>
        <x:v>477.75710453921533</x:v>
      </x:c>
      <x:c r="C29" s="24" t="n">
        <x:f>SUM(C19:C28)</x:f>
        <x:v>650.7507628090736</x:v>
      </x:c>
      <x:c r="D29" s="24" t="n">
        <x:f>SUM(D19:D28)</x:f>
        <x:v>799.5766400000001</x:v>
      </x:c>
      <x:c r="E29" s="24" t="n">
        <x:f>SUM(E19:E28)</x:f>
        <x:v>794.5766400000001</x:v>
      </x:c>
      <x:c r="F29" s="21"/>
    </x:row>
    <x:row r="30">
      <x:c r="A30" s="23" t="str">
        <x:v>经营贡献（折旧摊销前）</x:v>
      </x:c>
      <x:c r="B30" s="24" t="n">
        <x:f>B16-B29</x:f>
        <x:v>-12.657104544715367</x:v>
      </x:c>
      <x:c r="C30" s="24" t="n">
        <x:f>C16-C29</x:f>
        <x:v>299.24923717992635</x:v>
      </x:c>
      <x:c r="D30" s="24" t="n">
        <x:f>D16-D29</x:f>
        <x:v>588.1753600000001</x:v>
      </x:c>
      <x:c r="E30" s="24" t="n">
        <x:f>E16-E29</x:f>
        <x:v>593.1753600000001</x:v>
      </x:c>
      <x:c r="F30" s="21"/>
    </x:row>
    <x:row r="31">
      <x:c r="A31" s="13" t="str">
        <x:v>经营贡献率</x:v>
      </x:c>
      <x:c r="B31" s="17" t="n">
        <x:f>B30/B16</x:f>
        <x:v>-0.02721372725191366</x:v>
      </x:c>
      <x:c r="C31" s="17" t="n">
        <x:f>C30/C16</x:f>
        <x:v>0.3149991970351488</x:v>
      </x:c>
      <x:c r="D31" s="17" t="n">
        <x:f>D30/D16</x:f>
        <x:v>0.4238331920977235</x:v>
      </x:c>
      <x:c r="E31" s="17" t="n">
        <x:f>E30/E16</x:f>
        <x:v>0.4274361413278453</x:v>
      </x:c>
      <x:c r="F31" s="21"/>
    </x:row>
    <x:row r="32">
      <x:c r="A32" s="13" t="str">
        <x:v>设备折旧</x:v>
      </x:c>
      <x:c r="B32" s="18" t="n">
        <x:f>'参数设置'!$B$22</x:f>
        <x:v>93.9</x:v>
      </x:c>
      <x:c r="C32" s="18" t="n">
        <x:f>'参数设置'!$B$22</x:f>
        <x:v>93.9</x:v>
      </x:c>
      <x:c r="D32" s="18" t="n">
        <x:f>'参数设置'!$B$22</x:f>
        <x:v>93.9</x:v>
      </x:c>
      <x:c r="E32" s="18" t="n">
        <x:f>'参数设置'!$B$22</x:f>
        <x:v>93.9</x:v>
      </x:c>
      <x:c r="F32" s="21"/>
    </x:row>
    <x:row r="33">
      <x:c r="A33" s="13" t="str">
        <x:v>品牌费摊销</x:v>
      </x:c>
      <x:c r="B33" s="18" t="n">
        <x:f>'参数设置'!$B$19</x:f>
        <x:v>10</x:v>
      </x:c>
      <x:c r="C33" s="18" t="n">
        <x:f>'参数设置'!$B$19</x:f>
        <x:v>10</x:v>
      </x:c>
      <x:c r="D33" s="18" t="n">
        <x:f>'参数设置'!$B$19</x:f>
        <x:v>10</x:v>
      </x:c>
      <x:c r="E33" s="18" t="n">
        <x:f>'参数设置'!$B$19</x:f>
        <x:v>10</x:v>
      </x:c>
      <x:c r="F33" s="21"/>
    </x:row>
    <x:row r="34">
      <x:c r="A34" s="25" t="str">
        <x:v>息税前经营收益</x:v>
      </x:c>
      <x:c r="B34" s="26" t="n">
        <x:f>B30-B32-B33</x:f>
        <x:v>-116.55710454471537</x:v>
      </x:c>
      <x:c r="C34" s="26" t="n">
        <x:f>C30-C32-C33</x:f>
        <x:v>195.34923717992635</x:v>
      </x:c>
      <x:c r="D34" s="26" t="n">
        <x:f>D30-D32-D33</x:f>
        <x:v>484.2753600000001</x:v>
      </x:c>
      <x:c r="E34" s="26" t="n">
        <x:f>E30-E32-E33</x:f>
        <x:v>489.2753600000001</x:v>
      </x:c>
      <x:c r="F34" s="21"/>
    </x:row>
    <x:row r="35">
      <x:c r="A35" s="13" t="str">
        <x:v>品牌费现金支出</x:v>
      </x:c>
      <x:c r="B35" s="19" t="n">
        <x:v>100</x:v>
      </x:c>
      <x:c r="C35" s="19" t="n">
        <x:v>0</x:v>
      </x:c>
      <x:c r="D35" s="19" t="n">
        <x:v>0</x:v>
      </x:c>
      <x:c r="E35" s="19" t="n">
        <x:v>0</x:v>
      </x:c>
      <x:c r="F35" s="21"/>
    </x:row>
    <x:row r="36">
      <x:c r="A36" s="13" t="str">
        <x:v>设备建设现金支出</x:v>
      </x:c>
      <x:c r="B36" s="19" t="n">
        <x:v>939</x:v>
      </x:c>
      <x:c r="C36" s="19" t="n">
        <x:v>0</x:v>
      </x:c>
      <x:c r="D36" s="19" t="n">
        <x:v>0</x:v>
      </x:c>
      <x:c r="E36" s="19" t="n">
        <x:v>0</x:v>
      </x:c>
      <x:c r="F36" s="21"/>
    </x:row>
    <x:row r="37">
      <x:c r="A37" s="13" t="str">
        <x:v>项目现金流（税前）</x:v>
      </x:c>
      <x:c r="B37" s="18" t="n">
        <x:f>B30-B35-B36</x:f>
        <x:v>-1051.6571045447154</x:v>
      </x:c>
      <x:c r="C37" s="18" t="n">
        <x:f>C30-C35-C36</x:f>
        <x:v>299.24923717992635</x:v>
      </x:c>
      <x:c r="D37" s="18" t="n">
        <x:f>D30-D35-D36</x:f>
        <x:v>588.1753600000001</x:v>
      </x:c>
      <x:c r="E37" s="18" t="n">
        <x:f>E30-E35-E36</x:f>
        <x:v>593.1753600000001</x:v>
      </x:c>
      <x:c r="F37" s="21"/>
    </x:row>
    <x:row r="38">
      <x:c r="A38" s="13" t="str">
        <x:v>累计现金流（税前）</x:v>
      </x:c>
      <x:c r="B38" s="18" t="n">
        <x:f>B37</x:f>
        <x:v>-1051.6571045447154</x:v>
      </x:c>
      <x:c r="C38" s="18" t="n">
        <x:f>B38+C37</x:f>
        <x:v>-752.407867364789</x:v>
      </x:c>
      <x:c r="D38" s="18" t="n">
        <x:f>C38+D37</x:f>
        <x:v>-164.23250736478894</x:v>
      </x:c>
      <x:c r="E38" s="18" t="n">
        <x:f>D38+E37</x:f>
        <x:v>428.9428526352111</x:v>
      </x:c>
      <x:c r="F38" s="21"/>
    </x:row>
    <x:row r="39" ht="34" customHeight="1">
      <x:c r="A39" s="27" t="str">
        <x:v>投资口径说明</x:v>
      </x:c>
      <x:c r="B39" s="27" t="str">
        <x:v>品牌费为一次性现金支出</x:v>
      </x:c>
      <x:c r="C39" s="27" t="str">
        <x:v>不重复支付</x:v>
      </x:c>
      <x:c r="D39" s="27" t="str">
        <x:v>不重复支付</x:v>
      </x:c>
      <x:c r="E39" s="27" t="str">
        <x:v>稳定期仅保留年度10%流水分成</x:v>
      </x:c>
      <x:c r="F39" s="21"/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8" topLeftCell="B19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6" hidden="0" customWidth="1"/>
  </x:cols>
  <x:sheetData>
    <x:row r="1" ht="34" customHeight="1">
      <x:c r="A1" s="4" t="str">
        <x:v>各经营项目成本与经营贡献测算</x:v>
      </x:c>
      <x:c r="B1" s="4" t="str">
        <x:v>各经营项目成本与经营贡献测算</x:v>
      </x:c>
      <x:c r="C1" s="4" t="str">
        <x:v>各经营项目成本与经营贡献测算</x:v>
      </x:c>
      <x:c r="D1" s="4" t="str">
        <x:v>各经营项目成本与经营贡献测算</x:v>
      </x:c>
      <x:c r="E1" s="4" t="str">
        <x:v>各经营项目成本与经营贡献测算</x:v>
      </x:c>
      <x:c r="F1" s="4" t="str">
        <x:v>各经营项目成本与经营贡献测算</x:v>
      </x:c>
      <x:c r="G1" s="4" t="str">
        <x:v>各经营项目成本与经营贡献测算</x:v>
      </x:c>
      <x:c r="H1" s="4" t="str">
        <x:v>各经营项目成本与经营贡献测算</x:v>
      </x:c>
      <x:c r="I1" s="4" t="str">
        <x:v>各经营项目成本与经营贡献测算</x:v>
      </x:c>
      <x:c r="J1" s="4" t="str">
        <x:v>各经营项目成本与经营贡献测算</x:v>
      </x:c>
      <x:c r="K1" s="4" t="str">
        <x:v>各经营项目成本与经营贡献测算</x:v>
      </x:c>
      <x:c r="L1" s="4" t="str">
        <x:v>各经营项目成本与经营贡献测算</x:v>
      </x:c>
      <x:c r="M1" s="4" t="str">
        <x:v>各经营项目成本与经营贡献测算</x:v>
      </x:c>
      <x:c r="N1" s="4" t="str">
        <x:v>各经营项目成本与经营贡献测算</x:v>
      </x:c>
      <x:c r="O1" s="4" t="str">
        <x:v>各经营项目成本与经营贡献测算</x:v>
      </x:c>
      <x:c r="P1" s="4" t="str">
        <x:v>各经营项目成本与经营贡献测算</x:v>
      </x:c>
    </x:row>
    <x:row r="2" ht="34" customHeight="1">
      <x:c r="A2" s="4" t="str">
        <x:v>各经营项目成本与经营贡献测算</x:v>
      </x:c>
      <x:c r="B2" s="4" t="str">
        <x:v>各经营项目成本与经营贡献测算</x:v>
      </x:c>
      <x:c r="C2" s="4" t="str">
        <x:v>各经营项目成本与经营贡献测算</x:v>
      </x:c>
      <x:c r="D2" s="4" t="str">
        <x:v>各经营项目成本与经营贡献测算</x:v>
      </x:c>
      <x:c r="E2" s="4" t="str">
        <x:v>各经营项目成本与经营贡献测算</x:v>
      </x:c>
      <x:c r="F2" s="4" t="str">
        <x:v>各经营项目成本与经营贡献测算</x:v>
      </x:c>
      <x:c r="G2" s="4" t="str">
        <x:v>各经营项目成本与经营贡献测算</x:v>
      </x:c>
      <x:c r="H2" s="4" t="str">
        <x:v>各经营项目成本与经营贡献测算</x:v>
      </x:c>
      <x:c r="I2" s="4" t="str">
        <x:v>各经营项目成本与经营贡献测算</x:v>
      </x:c>
      <x:c r="J2" s="4" t="str">
        <x:v>各经营项目成本与经营贡献测算</x:v>
      </x:c>
      <x:c r="K2" s="4" t="str">
        <x:v>各经营项目成本与经营贡献测算</x:v>
      </x:c>
      <x:c r="L2" s="4" t="str">
        <x:v>各经营项目成本与经营贡献测算</x:v>
      </x:c>
      <x:c r="M2" s="4" t="str">
        <x:v>各经营项目成本与经营贡献测算</x:v>
      </x:c>
      <x:c r="N2" s="4" t="str">
        <x:v>各经营项目成本与经营贡献测算</x:v>
      </x:c>
      <x:c r="O2" s="4" t="str">
        <x:v>各经营项目成本与经营贡献测算</x:v>
      </x:c>
      <x:c r="P2" s="4" t="str">
        <x:v>各经营项目成本与经营贡献测算</x:v>
      </x:c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>
      <x:c r="A4" s="10" t="str">
        <x:v>年度汇总</x:v>
      </x:c>
      <x:c r="B4" s="10" t="str">
        <x:v>第1年</x:v>
      </x:c>
      <x:c r="C4" s="10" t="str">
        <x:v>第2年</x:v>
      </x:c>
      <x:c r="D4" s="10" t="str">
        <x:v>第3年</x:v>
      </x:c>
      <x:c r="E4" s="10" t="str">
        <x:v>稳定期</x:v>
      </x:c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</x:row>
    <x:row r="5">
      <x:c r="A5" s="13" t="str">
        <x:v>营业收入</x:v>
      </x:c>
      <x:c r="B5" s="18" t="n">
        <x:f>F41</x:f>
        <x:v>2972.4849999945</x:v>
      </x:c>
      <x:c r="C5" s="18" t="n">
        <x:f>H41</x:f>
        <x:v>3999.999999989</x:v>
      </x:c>
      <x:c r="D5" s="18" t="n">
        <x:f>J41</x:f>
        <x:v>5000</x:v>
      </x:c>
      <x:c r="E5" s="18" t="n">
        <x:f>L41</x:f>
        <x:v>5000</x:v>
      </x:c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</x:row>
    <x:row r="6">
      <x:c r="A6" s="13" t="str">
        <x:v>经营成本</x:v>
      </x:c>
      <x:c r="B6" s="18" t="n">
        <x:f>G41</x:f>
        <x:v>1993.5781045392155</x:v>
      </x:c>
      <x:c r="C6" s="18" t="n">
        <x:f>I41</x:f>
        <x:v>2488.9107628090733</x:v>
      </x:c>
      <x:c r="D6" s="18" t="n">
        <x:f>K41</x:f>
        <x:v>2891.4184800000007</x:v>
      </x:c>
      <x:c r="E6" s="18" t="n">
        <x:f>M41</x:f>
        <x:v>2886.4184800000007</x:v>
      </x:c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</x:row>
    <x:row r="7">
      <x:c r="A7" s="23" t="str">
        <x:v>经营贡献</x:v>
      </x:c>
      <x:c r="B7" s="24" t="n">
        <x:f>B5-B6</x:f>
        <x:v>978.9068954552845</x:v>
      </x:c>
      <x:c r="C7" s="24" t="n">
        <x:f>C5-C6</x:f>
        <x:v>1511.0892371799268</x:v>
      </x:c>
      <x:c r="D7" s="24" t="n">
        <x:f>D5-D6</x:f>
        <x:v>2108.5815199999993</x:v>
      </x:c>
      <x:c r="E7" s="24" t="n">
        <x:f>E5-E6</x:f>
        <x:v>2113.5815199999993</x:v>
      </x:c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</x:row>
    <x:row r="8">
      <x:c r="A8" s="23" t="str">
        <x:v>经营贡献率</x:v>
      </x:c>
      <x:c r="B8" s="24" t="n">
        <x:f>B7/B5</x:f>
        <x:v>0.32932273685387675</x:v>
      </x:c>
      <x:c r="C8" s="24" t="n">
        <x:f>C7/C5</x:f>
        <x:v>0.37777230929602057</x:v>
      </x:c>
      <x:c r="D8" s="24" t="n">
        <x:f>D7/D5</x:f>
        <x:v>0.4217163039999999</x:v>
      </x:c>
      <x:c r="E8" s="24" t="n">
        <x:f>E7/E5</x:f>
        <x:v>0.4227163039999999</x:v>
      </x:c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</x:row>
    <x:row r="9">
      <x:c r="A9" s="13" t="str">
        <x:v>设备折旧（仅已明确宝贝王部分）</x:v>
      </x:c>
      <x:c r="B9" s="18" t="n">
        <x:f>'参数设置'!$B$22</x:f>
        <x:v>93.9</x:v>
      </x:c>
      <x:c r="C9" s="18" t="n">
        <x:f>'参数设置'!$B$22</x:f>
        <x:v>93.9</x:v>
      </x:c>
      <x:c r="D9" s="18" t="n">
        <x:f>'参数设置'!$B$22</x:f>
        <x:v>93.9</x:v>
      </x:c>
      <x:c r="E9" s="18" t="n">
        <x:f>'参数设置'!$B$22</x:f>
        <x:v>93.9</x:v>
      </x:c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</x:row>
    <x:row r="10">
      <x:c r="A10" s="13" t="str">
        <x:v>品牌费摊销</x:v>
      </x:c>
      <x:c r="B10" s="18" t="n">
        <x:f>'参数设置'!$B$19</x:f>
        <x:v>10</x:v>
      </x:c>
      <x:c r="C10" s="18" t="n">
        <x:f>'参数设置'!$B$19</x:f>
        <x:v>10</x:v>
      </x:c>
      <x:c r="D10" s="18" t="n">
        <x:f>'参数设置'!$B$19</x:f>
        <x:v>10</x:v>
      </x:c>
      <x:c r="E10" s="18" t="n">
        <x:f>'参数设置'!$B$19</x:f>
        <x:v>10</x:v>
      </x:c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</x:row>
    <x:row r="11">
      <x:c r="A11" s="13" t="str">
        <x:v>息税前经营收益</x:v>
      </x:c>
      <x:c r="B11" s="18" t="n">
        <x:f>B7-B9-B10</x:f>
        <x:v>875.0068954552845</x:v>
      </x:c>
      <x:c r="C11" s="18" t="n">
        <x:f>C7-C9-C10</x:f>
        <x:v>1407.1892371799267</x:v>
      </x:c>
      <x:c r="D11" s="18" t="n">
        <x:f>D7-D9-D10</x:f>
        <x:v>2004.6815199999992</x:v>
      </x:c>
      <x:c r="E11" s="18" t="n">
        <x:f>E7-E9-E10</x:f>
        <x:v>2009.6815199999992</x:v>
      </x:c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</x:row>
    <x:row r="12">
      <x:c r="A12" s="13" t="str">
        <x:v>设备建设现金支出</x:v>
      </x:c>
      <x:c r="B12" s="18" t="n">
        <x:v>939</x:v>
      </x:c>
      <x:c r="C12" s="18" t="n">
        <x:v>0</x:v>
      </x:c>
      <x:c r="D12" s="18" t="n">
        <x:v>0</x:v>
      </x:c>
      <x:c r="E12" s="18" t="n">
        <x:v>0</x:v>
      </x:c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</x:row>
    <x:row r="13">
      <x:c r="A13" s="13" t="str">
        <x:v>品牌费现金支出</x:v>
      </x:c>
      <x:c r="B13" s="18" t="n">
        <x:v>100</x:v>
      </x:c>
      <x:c r="C13" s="18" t="n">
        <x:v>0</x:v>
      </x:c>
      <x:c r="D13" s="18" t="n">
        <x:v>0</x:v>
      </x:c>
      <x:c r="E13" s="18" t="n">
        <x:v>0</x:v>
      </x:c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</x:row>
    <x:row r="14">
      <x:c r="A14" s="13" t="str">
        <x:v>项目现金流（税前）</x:v>
      </x:c>
      <x:c r="B14" s="18" t="n">
        <x:f>B7-B12-B13</x:f>
        <x:v>-60.093104544715516</x:v>
      </x:c>
      <x:c r="C14" s="18" t="n">
        <x:f>C7-C12-C13</x:f>
        <x:v>1511.0892371799268</x:v>
      </x:c>
      <x:c r="D14" s="18" t="n">
        <x:f>D7-D12-D13</x:f>
        <x:v>2108.5815199999993</x:v>
      </x:c>
      <x:c r="E14" s="18" t="n">
        <x:f>E7-E12-E13</x:f>
        <x:v>2113.5815199999993</x:v>
      </x:c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</x:row>
    <x:row r="15">
      <x:c r="A15" s="13" t="str">
        <x:v>累计现金流（税前）</x:v>
      </x:c>
      <x:c r="B15" s="18" t="n">
        <x:f>B14</x:f>
        <x:v>-60.093104544715516</x:v>
      </x:c>
      <x:c r="C15" s="18" t="n">
        <x:f>B15+C14</x:f>
        <x:v>1450.9961326352113</x:v>
      </x:c>
      <x:c r="D15" s="18" t="n">
        <x:f>C15+D14</x:f>
        <x:v>3559.5776526352106</x:v>
      </x:c>
      <x:c r="E15" s="18" t="n">
        <x:f>D15+E14</x:f>
        <x:v>5673.15917263521</x:v>
      </x:c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</x:row>
    <x:row r="18">
      <x:c r="A18" s="10" t="str">
        <x:v>经营项目</x:v>
      </x:c>
      <x:c r="B18" s="10" t="str">
        <x:v>直接/物料成本率</x:v>
      </x:c>
      <x:c r="C18" s="10" t="str">
        <x:v>渠道营销率</x:v>
      </x:c>
      <x:c r="D18" s="10" t="str">
        <x:v>合作方分成率</x:v>
      </x:c>
      <x:c r="E18" s="10" t="str">
        <x:v>稳定期固定运营成本</x:v>
      </x:c>
      <x:c r="F18" s="10" t="str">
        <x:v>第1年收入</x:v>
      </x:c>
      <x:c r="G18" s="10" t="str">
        <x:v>第1年成本</x:v>
      </x:c>
      <x:c r="H18" s="10" t="str">
        <x:v>第2年收入</x:v>
      </x:c>
      <x:c r="I18" s="10" t="str">
        <x:v>第2年成本</x:v>
      </x:c>
      <x:c r="J18" s="10" t="str">
        <x:v>第3年收入</x:v>
      </x:c>
      <x:c r="K18" s="10" t="str">
        <x:v>第3年成本</x:v>
      </x:c>
      <x:c r="L18" s="10" t="str">
        <x:v>稳定期收入</x:v>
      </x:c>
      <x:c r="M18" s="10" t="str">
        <x:v>稳定期成本</x:v>
      </x:c>
      <x:c r="N18" s="10" t="str">
        <x:v>稳定期经营贡献</x:v>
      </x:c>
      <x:c r="O18" s="10" t="str">
        <x:v>贡献率</x:v>
      </x:c>
      <x:c r="P18" s="10" t="str">
        <x:v>成本依据</x:v>
      </x:c>
    </x:row>
    <x:row r="19">
      <x:c r="A19" s="27" t="str">
        <x:v>萌宠马戏</x:v>
      </x:c>
      <x:c r="B19" s="40" t="n">
        <x:v>0.25</x:v>
      </x:c>
      <x:c r="C19" s="40" t="n">
        <x:v>0.05</x:v>
      </x:c>
      <x:c r="D19" s="40" t="n">
        <x:v>0.2</x:v>
      </x:c>
      <x:c r="E19" s="32" t="n">
        <x:v>120</x:v>
      </x:c>
      <x:c r="F19" s="34" t="n">
        <x:f>'收入构成'!D5</x:f>
        <x:v>750</x:v>
      </x:c>
      <x:c r="G19" s="34" t="n">
        <x:f>IF(F19=0,0,F19*SUM(B19:D19)+E19*'参数设置'!B12)</x:f>
        <x:v>471</x:v>
      </x:c>
      <x:c r="H19" s="34" t="n">
        <x:f>'收入构成'!E5</x:f>
        <x:v>780</x:v>
      </x:c>
      <x:c r="I19" s="34" t="n">
        <x:f>IF(H19=0,0,H19*SUM(B19:D19)+E19*'参数设置'!C12)</x:f>
        <x:v>498</x:v>
      </x:c>
      <x:c r="J19" s="34" t="n">
        <x:f>'收入构成'!F5</x:f>
        <x:v>800</x:v>
      </x:c>
      <x:c r="K19" s="34" t="n">
        <x:f>IF(J19=0,0,J19*SUM(B19:D19)+E19*'参数设置'!D12)</x:f>
        <x:v>520</x:v>
      </x:c>
      <x:c r="L19" s="34" t="n">
        <x:f>'收入构成'!G5</x:f>
        <x:v>800</x:v>
      </x:c>
      <x:c r="M19" s="34" t="n">
        <x:f>IF(L19=0,0,L19*SUM(B19:D19)+E19*'参数设置'!E12)</x:f>
        <x:v>520</x:v>
      </x:c>
      <x:c r="N19" s="34" t="n">
        <x:f>L19-M19</x:f>
        <x:v>280</x:v>
      </x:c>
      <x:c r="O19" s="33" t="n">
        <x:f>IF(L19=0,0,N19/L19)</x:f>
        <x:v>0.35</x:v>
      </x:c>
      <x:c r="P19" s="27" t="str">
        <x:v>演出、动物养护、渠道及合作运营</x:v>
      </x:c>
    </x:row>
    <x:row r="20">
      <x:c r="A20" s="27" t="str">
        <x:v>超级宝贝王（含二消）</x:v>
      </x:c>
      <x:c r="B20" s="40" t="n">
        <x:f>('超级宝贝王'!E22+'超级宝贝王'!E23)/'超级宝贝王'!E16</x:f>
        <x:v>0.15528077062760492</x:v>
      </x:c>
      <x:c r="C20" s="40" t="n">
        <x:f>('超级宝贝王'!E20+'超级宝贝王'!E21+'超级宝贝王'!E24+'超级宝贝王'!E25)/'超级宝贝王'!E16</x:f>
        <x:v>0.10007079074647343</x:v>
      </x:c>
      <x:c r="D20" s="40" t="n">
        <x:f>'超级宝贝王'!E19/'超级宝贝王'!E16</x:f>
        <x:v>0.08894384587447901</x:v>
      </x:c>
      <x:c r="E20" s="32" t="n">
        <x:f>'超级宝贝王'!E26+'超级宝贝王'!E27+'超级宝贝王'!E28</x:f>
        <x:v>316.78</x:v>
      </x:c>
      <x:c r="F20" s="34" t="n">
        <x:f>'超级宝贝王'!B16</x:f>
        <x:v>465.09999999449997</x:v>
      </x:c>
      <x:c r="G20" s="34" t="n">
        <x:f>'超级宝贝王'!B29</x:f>
        <x:v>477.75710453921533</x:v>
      </x:c>
      <x:c r="H20" s="34" t="n">
        <x:f>'超级宝贝王'!C16</x:f>
        <x:v>949.999999989</x:v>
      </x:c>
      <x:c r="I20" s="34" t="n">
        <x:f>'超级宝贝王'!C29</x:f>
        <x:v>650.7507628090736</x:v>
      </x:c>
      <x:c r="J20" s="34" t="n">
        <x:f>'超级宝贝王'!D16</x:f>
        <x:v>1387.7520000000002</x:v>
      </x:c>
      <x:c r="K20" s="34" t="n">
        <x:f>'超级宝贝王'!D29</x:f>
        <x:v>799.5766400000001</x:v>
      </x:c>
      <x:c r="L20" s="34" t="n">
        <x:f>'超级宝贝王'!E16</x:f>
        <x:v>1387.7520000000002</x:v>
      </x:c>
      <x:c r="M20" s="34" t="n">
        <x:f>'超级宝贝王'!E29</x:f>
        <x:v>794.5766400000001</x:v>
      </x:c>
      <x:c r="N20" s="34" t="n">
        <x:f>L20-M20</x:f>
        <x:v>593.1753600000001</x:v>
      </x:c>
      <x:c r="O20" s="33" t="n">
        <x:f>IF(L20=0,0,N20/L20)</x:f>
        <x:v>0.4274361413278453</x:v>
      </x:c>
      <x:c r="P20" s="27" t="str">
        <x:v>详见“超级宝贝王”表；万达分成不重复计算</x:v>
      </x:c>
    </x:row>
    <x:row r="21">
      <x:c r="A21" s="27" t="str">
        <x:v>公园文创礼品</x:v>
      </x:c>
      <x:c r="B21" s="40" t="n">
        <x:v>0.45</x:v>
      </x:c>
      <x:c r="C21" s="40" t="n">
        <x:v>0.05</x:v>
      </x:c>
      <x:c r="D21" s="40" t="n">
        <x:v>0</x:v>
      </x:c>
      <x:c r="E21" s="32" t="n">
        <x:v>35</x:v>
      </x:c>
      <x:c r="F21" s="34" t="n">
        <x:f>'收入构成'!D8</x:f>
        <x:v>450.9</x:v>
      </x:c>
      <x:c r="G21" s="34" t="n">
        <x:f>IF(F21=0,0,F21*SUM(B21:D21)+E21*'参数设置'!B12)</x:f>
        <x:v>253.45</x:v>
      </x:c>
      <x:c r="H21" s="34" t="n">
        <x:f>'收入构成'!E8</x:f>
        <x:v>430</x:v>
      </x:c>
      <x:c r="I21" s="34" t="n">
        <x:f>IF(H21=0,0,H21*SUM(B21:D21)+E21*'参数设置'!C12)</x:f>
        <x:v>246.5</x:v>
      </x:c>
      <x:c r="J21" s="34" t="n">
        <x:f>'收入构成'!F8</x:f>
        <x:v>420</x:v>
      </x:c>
      <x:c r="K21" s="34" t="n">
        <x:f>IF(J21=0,0,J21*SUM(B21:D21)+E21*'参数设置'!D12)</x:f>
        <x:v>245</x:v>
      </x:c>
      <x:c r="L21" s="34" t="n">
        <x:f>'收入构成'!G8</x:f>
        <x:v>420</x:v>
      </x:c>
      <x:c r="M21" s="34" t="n">
        <x:f>IF(L21=0,0,L21*SUM(B21:D21)+E21*'参数设置'!E12)</x:f>
        <x:v>245</x:v>
      </x:c>
      <x:c r="N21" s="34" t="n">
        <x:f>L21-M21</x:f>
        <x:v>175</x:v>
      </x:c>
      <x:c r="O21" s="33" t="n">
        <x:f>IF(L21=0,0,N21/L21)</x:f>
        <x:v>0.4166666666666667</x:v>
      </x:c>
      <x:c r="P21" s="27" t="str">
        <x:v>商品采购、包装、销售人工</x:v>
      </x:c>
    </x:row>
    <x:row r="22">
      <x:c r="A22" s="27" t="str">
        <x:v>萌宠动物互动</x:v>
      </x:c>
      <x:c r="B22" s="40" t="n">
        <x:v>0.2</x:v>
      </x:c>
      <x:c r="C22" s="40" t="n">
        <x:v>0.05</x:v>
      </x:c>
      <x:c r="D22" s="40" t="n">
        <x:v>0</x:v>
      </x:c>
      <x:c r="E22" s="32" t="n">
        <x:v>30</x:v>
      </x:c>
      <x:c r="F22" s="34" t="n">
        <x:f>'收入构成'!D9</x:f>
        <x:v>40</x:v>
      </x:c>
      <x:c r="G22" s="34" t="n">
        <x:f>IF(F22=0,0,F22*SUM(B22:D22)+E22*'参数设置'!B12)</x:f>
        <x:v>34</x:v>
      </x:c>
      <x:c r="H22" s="34" t="n">
        <x:f>'收入构成'!E9</x:f>
        <x:v>60</x:v>
      </x:c>
      <x:c r="I22" s="34" t="n">
        <x:f>IF(H22=0,0,H22*SUM(B22:D22)+E22*'参数设置'!C12)</x:f>
        <x:v>42</x:v>
      </x:c>
      <x:c r="J22" s="34" t="n">
        <x:f>'收入构成'!F9</x:f>
        <x:v>80</x:v>
      </x:c>
      <x:c r="K22" s="34" t="n">
        <x:f>IF(J22=0,0,J22*SUM(B22:D22)+E22*'参数设置'!D12)</x:f>
        <x:v>50</x:v>
      </x:c>
      <x:c r="L22" s="34" t="n">
        <x:f>'收入构成'!G9</x:f>
        <x:v>80</x:v>
      </x:c>
      <x:c r="M22" s="34" t="n">
        <x:f>IF(L22=0,0,L22*SUM(B22:D22)+E22*'参数设置'!E12)</x:f>
        <x:v>50</x:v>
      </x:c>
      <x:c r="N22" s="34" t="n">
        <x:f>L22-M22</x:f>
        <x:v>30</x:v>
      </x:c>
      <x:c r="O22" s="33" t="n">
        <x:f>IF(L22=0,0,N22/L22)</x:f>
        <x:v>0.375</x:v>
      </x:c>
      <x:c r="P22" s="27" t="str">
        <x:v>饲养、耗材、保险及营销</x:v>
      </x:c>
    </x:row>
    <x:row r="23">
      <x:c r="A23" s="27" t="str">
        <x:v>影院/沉浸内容</x:v>
      </x:c>
      <x:c r="B23" s="40" t="n">
        <x:v>0.35</x:v>
      </x:c>
      <x:c r="C23" s="40" t="n">
        <x:v>0.05</x:v>
      </x:c>
      <x:c r="D23" s="40" t="n">
        <x:v>0</x:v>
      </x:c>
      <x:c r="E23" s="32" t="n">
        <x:v>30</x:v>
      </x:c>
      <x:c r="F23" s="34" t="n">
        <x:f>'收入构成'!D10</x:f>
        <x:v>90</x:v>
      </x:c>
      <x:c r="G23" s="34" t="n">
        <x:f>IF(F23=0,0,F23*SUM(B23:D23)+E23*'参数设置'!B12)</x:f>
        <x:v>60</x:v>
      </x:c>
      <x:c r="H23" s="34" t="n">
        <x:f>'收入构成'!E10</x:f>
        <x:v>95</x:v>
      </x:c>
      <x:c r="I23" s="34" t="n">
        <x:f>IF(H23=0,0,H23*SUM(B23:D23)+E23*'参数设置'!C12)</x:f>
        <x:v>65</x:v>
      </x:c>
      <x:c r="J23" s="34" t="n">
        <x:f>'收入构成'!F10</x:f>
        <x:v>100</x:v>
      </x:c>
      <x:c r="K23" s="34" t="n">
        <x:f>IF(J23=0,0,J23*SUM(B23:D23)+E23*'参数设置'!D12)</x:f>
        <x:v>70</x:v>
      </x:c>
      <x:c r="L23" s="34" t="n">
        <x:f>'收入构成'!G10</x:f>
        <x:v>100</x:v>
      </x:c>
      <x:c r="M23" s="34" t="n">
        <x:f>IF(L23=0,0,L23*SUM(B23:D23)+E23*'参数设置'!E12)</x:f>
        <x:v>70</x:v>
      </x:c>
      <x:c r="N23" s="34" t="n">
        <x:f>L23-M23</x:f>
        <x:v>30</x:v>
      </x:c>
      <x:c r="O23" s="33" t="n">
        <x:f>IF(L23=0,0,N23/L23)</x:f>
        <x:v>0.3</x:v>
      </x:c>
      <x:c r="P23" s="27" t="str">
        <x:v>版权/内容、能耗及人员</x:v>
      </x:c>
    </x:row>
    <x:row r="24">
      <x:c r="A24" s="27" t="str">
        <x:v>青年街区</x:v>
      </x:c>
      <x:c r="B24" s="40" t="n">
        <x:v>0.12</x:v>
      </x:c>
      <x:c r="C24" s="40" t="n">
        <x:v>0.02</x:v>
      </x:c>
      <x:c r="D24" s="40" t="n">
        <x:v>0</x:v>
      </x:c>
      <x:c r="E24" s="32" t="n">
        <x:v>20</x:v>
      </x:c>
      <x:c r="F24" s="34" t="n">
        <x:f>'收入构成'!D11</x:f>
        <x:v>100.375</x:v>
      </x:c>
      <x:c r="G24" s="34" t="n">
        <x:f>IF(F24=0,0,F24*SUM(B24:D24)+E24*'参数设置'!B12)</x:f>
        <x:v>30.0525</x:v>
      </x:c>
      <x:c r="H24" s="34" t="n">
        <x:f>'收入构成'!E11</x:f>
        <x:v>110</x:v>
      </x:c>
      <x:c r="I24" s="34" t="n">
        <x:f>IF(H24=0,0,H24*SUM(B24:D24)+E24*'参数设置'!C12)</x:f>
        <x:v>33.4</x:v>
      </x:c>
      <x:c r="J24" s="34" t="n">
        <x:f>'收入构成'!F11</x:f>
        <x:v>120</x:v>
      </x:c>
      <x:c r="K24" s="34" t="n">
        <x:f>IF(J24=0,0,J24*SUM(B24:D24)+E24*'参数设置'!D12)</x:f>
        <x:v>36.8</x:v>
      </x:c>
      <x:c r="L24" s="34" t="n">
        <x:f>'收入构成'!G11</x:f>
        <x:v>120</x:v>
      </x:c>
      <x:c r="M24" s="34" t="n">
        <x:f>IF(L24=0,0,L24*SUM(B24:D24)+E24*'参数设置'!E12)</x:f>
        <x:v>36.8</x:v>
      </x:c>
      <x:c r="N24" s="34" t="n">
        <x:f>L24-M24</x:f>
        <x:v>83.2</x:v>
      </x:c>
      <x:c r="O24" s="33" t="n">
        <x:f>IF(L24=0,0,N24/L24)</x:f>
        <x:v>0.6933333333333334</x:v>
      </x:c>
      <x:c r="P24" s="27" t="str">
        <x:v>招商主管、活动及公共维护</x:v>
      </x:c>
    </x:row>
    <x:row r="25">
      <x:c r="A25" s="27" t="str">
        <x:v>茶馆</x:v>
      </x:c>
      <x:c r="B25" s="40" t="n">
        <x:v>0.3</x:v>
      </x:c>
      <x:c r="C25" s="40" t="n">
        <x:v>0.05</x:v>
      </x:c>
      <x:c r="D25" s="40" t="n">
        <x:v>0</x:v>
      </x:c>
      <x:c r="E25" s="32" t="n">
        <x:v>45</x:v>
      </x:c>
      <x:c r="F25" s="34" t="n">
        <x:f>'收入构成'!D12</x:f>
        <x:v>151.11</x:v>
      </x:c>
      <x:c r="G25" s="34" t="n">
        <x:f>IF(F25=0,0,F25*SUM(B25:D25)+E25*'参数设置'!B12)</x:f>
        <x:v>88.8885</x:v>
      </x:c>
      <x:c r="H25" s="34" t="n">
        <x:f>'收入构成'!E12</x:f>
        <x:v>170</x:v>
      </x:c>
      <x:c r="I25" s="34" t="n">
        <x:f>IF(H25=0,0,H25*SUM(B25:D25)+E25*'参数设置'!C12)</x:f>
        <x:v>100</x:v>
      </x:c>
      <x:c r="J25" s="34" t="n">
        <x:f>'收入构成'!F12</x:f>
        <x:v>190</x:v>
      </x:c>
      <x:c r="K25" s="34" t="n">
        <x:f>IF(J25=0,0,J25*SUM(B25:D25)+E25*'参数设置'!D12)</x:f>
        <x:v>111.5</x:v>
      </x:c>
      <x:c r="L25" s="34" t="n">
        <x:f>'收入构成'!G12</x:f>
        <x:v>190</x:v>
      </x:c>
      <x:c r="M25" s="34" t="n">
        <x:f>IF(L25=0,0,L25*SUM(B25:D25)+E25*'参数设置'!E12)</x:f>
        <x:v>111.5</x:v>
      </x:c>
      <x:c r="N25" s="34" t="n">
        <x:f>L25-M25</x:f>
        <x:v>78.5</x:v>
      </x:c>
      <x:c r="O25" s="33" t="n">
        <x:f>IF(L25=0,0,N25/L25)</x:f>
        <x:v>0.4131578947368421</x:v>
      </x:c>
      <x:c r="P25" s="27" t="str">
        <x:v>茶品成本、平台费及固定人工</x:v>
      </x:c>
    </x:row>
    <x:row r="26">
      <x:c r="A26" s="27" t="str">
        <x:v>素食餐厅</x:v>
      </x:c>
      <x:c r="B26" s="40" t="n">
        <x:v>0.38</x:v>
      </x:c>
      <x:c r="C26" s="40" t="n">
        <x:v>0.08</x:v>
      </x:c>
      <x:c r="D26" s="40" t="n">
        <x:v>0</x:v>
      </x:c>
      <x:c r="E26" s="32" t="n">
        <x:v>80</x:v>
      </x:c>
      <x:c r="F26" s="34" t="n">
        <x:f>'收入构成'!D13</x:f>
        <x:v>100</x:v>
      </x:c>
      <x:c r="G26" s="34" t="n">
        <x:f>IF(F26=0,0,F26*SUM(B26:D26)+E26*'参数设置'!B12)</x:f>
        <x:v>110</x:v>
      </x:c>
      <x:c r="H26" s="34" t="n">
        <x:f>'收入构成'!E13</x:f>
        <x:v>125</x:v>
      </x:c>
      <x:c r="I26" s="34" t="n">
        <x:f>IF(H26=0,0,H26*SUM(B26:D26)+E26*'参数设置'!C12)</x:f>
        <x:v>129.5</x:v>
      </x:c>
      <x:c r="J26" s="34" t="n">
        <x:f>'收入构成'!F13</x:f>
        <x:v>150</x:v>
      </x:c>
      <x:c r="K26" s="34" t="n">
        <x:f>IF(J26=0,0,J26*SUM(B26:D26)+E26*'参数设置'!D12)</x:f>
        <x:v>149</x:v>
      </x:c>
      <x:c r="L26" s="34" t="n">
        <x:f>'收入构成'!G13</x:f>
        <x:v>150</x:v>
      </x:c>
      <x:c r="M26" s="34" t="n">
        <x:f>IF(L26=0,0,L26*SUM(B26:D26)+E26*'参数设置'!E12)</x:f>
        <x:v>149</x:v>
      </x:c>
      <x:c r="N26" s="34" t="n">
        <x:f>L26-M26</x:f>
        <x:v>1</x:v>
      </x:c>
      <x:c r="O26" s="33" t="n">
        <x:f>IF(L26=0,0,N26/L26)</x:f>
        <x:v>0.006666666666666667</x:v>
      </x:c>
      <x:c r="P26" s="27" t="str">
        <x:v>食材、平台营销、人工能耗</x:v>
      </x:c>
    </x:row>
    <x:row r="27">
      <x:c r="A27" s="27" t="str">
        <x:v>市集/在地好物</x:v>
      </x:c>
      <x:c r="B27" s="40" t="n">
        <x:v>0.15</x:v>
      </x:c>
      <x:c r="C27" s="40" t="n">
        <x:v>0.02</x:v>
      </x:c>
      <x:c r="D27" s="40" t="n">
        <x:v>0</x:v>
      </x:c>
      <x:c r="E27" s="32" t="n">
        <x:v>45</x:v>
      </x:c>
      <x:c r="F27" s="34" t="n">
        <x:f>'收入构成'!D14</x:f>
        <x:v>165</x:v>
      </x:c>
      <x:c r="G27" s="34" t="n">
        <x:f>IF(F27=0,0,F27*SUM(B27:D27)+E27*'参数设置'!B12)</x:f>
        <x:v>64.05</x:v>
      </x:c>
      <x:c r="H27" s="34" t="n">
        <x:f>'收入构成'!E14</x:f>
        <x:v>230</x:v>
      </x:c>
      <x:c r="I27" s="34" t="n">
        <x:f>IF(H27=0,0,H27*SUM(B27:D27)+E27*'参数设置'!C12)</x:f>
        <x:v>79.6</x:v>
      </x:c>
      <x:c r="J27" s="34" t="n">
        <x:f>'收入构成'!F14</x:f>
        <x:v>300</x:v>
      </x:c>
      <x:c r="K27" s="34" t="n">
        <x:f>IF(J27=0,0,J27*SUM(B27:D27)+E27*'参数设置'!D12)</x:f>
        <x:v>96</x:v>
      </x:c>
      <x:c r="L27" s="34" t="n">
        <x:f>'收入构成'!G14</x:f>
        <x:v>300</x:v>
      </x:c>
      <x:c r="M27" s="34" t="n">
        <x:f>IF(L27=0,0,L27*SUM(B27:D27)+E27*'参数设置'!E12)</x:f>
        <x:v>96</x:v>
      </x:c>
      <x:c r="N27" s="34" t="n">
        <x:f>L27-M27</x:f>
        <x:v>204</x:v>
      </x:c>
      <x:c r="O27" s="33" t="n">
        <x:f>IF(L27=0,0,N27/L27)</x:f>
        <x:v>0.68</x:v>
      </x:c>
      <x:c r="P27" s="27" t="str">
        <x:v>招商运营、活动和公共服务</x:v>
      </x:c>
    </x:row>
    <x:row r="28">
      <x:c r="A28" s="27" t="str">
        <x:v>森林婚礼/宴会</x:v>
      </x:c>
      <x:c r="B28" s="40" t="n">
        <x:v>0.3</x:v>
      </x:c>
      <x:c r="C28" s="40" t="n">
        <x:v>0.08</x:v>
      </x:c>
      <x:c r="D28" s="40" t="n">
        <x:v>0</x:v>
      </x:c>
      <x:c r="E28" s="32" t="n">
        <x:v>25</x:v>
      </x:c>
      <x:c r="F28" s="34" t="n">
        <x:f>'收入构成'!D15</x:f>
        <x:v>96</x:v>
      </x:c>
      <x:c r="G28" s="34" t="n">
        <x:f>IF(F28=0,0,F28*SUM(B28:D28)+E28*'参数设置'!B12)</x:f>
        <x:v>56.480000000000004</x:v>
      </x:c>
      <x:c r="H28" s="34" t="n">
        <x:f>'收入构成'!E15</x:f>
        <x:v>125</x:v>
      </x:c>
      <x:c r="I28" s="34" t="n">
        <x:f>IF(H28=0,0,H28*SUM(B28:D28)+E28*'参数设置'!C12)</x:f>
        <x:v>70</x:v>
      </x:c>
      <x:c r="J28" s="34" t="n">
        <x:f>'收入构成'!F15</x:f>
        <x:v>160</x:v>
      </x:c>
      <x:c r="K28" s="34" t="n">
        <x:f>IF(J28=0,0,J28*SUM(B28:D28)+E28*'参数设置'!D12)</x:f>
        <x:v>85.8</x:v>
      </x:c>
      <x:c r="L28" s="34" t="n">
        <x:f>'收入构成'!G15</x:f>
        <x:v>160</x:v>
      </x:c>
      <x:c r="M28" s="34" t="n">
        <x:f>IF(L28=0,0,L28*SUM(B28:D28)+E28*'参数设置'!E12)</x:f>
        <x:v>85.8</x:v>
      </x:c>
      <x:c r="N28" s="34" t="n">
        <x:f>L28-M28</x:f>
        <x:v>74.2</x:v>
      </x:c>
      <x:c r="O28" s="33" t="n">
        <x:f>IF(L28=0,0,N28/L28)</x:f>
        <x:v>0.46375</x:v>
      </x:c>
      <x:c r="P28" s="27" t="str">
        <x:v>布置耗材、渠道及项目执行</x:v>
      </x:c>
    </x:row>
    <x:row r="29">
      <x:c r="A29" s="27" t="str">
        <x:v>冰雪项目</x:v>
      </x:c>
      <x:c r="B29" s="40" t="n">
        <x:v>0.25</x:v>
      </x:c>
      <x:c r="C29" s="40" t="n">
        <x:v>0.05</x:v>
      </x:c>
      <x:c r="D29" s="40" t="n">
        <x:v>0</x:v>
      </x:c>
      <x:c r="E29" s="32" t="n">
        <x:v>25</x:v>
      </x:c>
      <x:c r="F29" s="34" t="n">
        <x:f>'收入构成'!D16</x:f>
        <x:v>20</x:v>
      </x:c>
      <x:c r="G29" s="34" t="n">
        <x:f>IF(F29=0,0,F29*SUM(B29:D29)+E29*'参数设置'!B12)</x:f>
        <x:v>26</x:v>
      </x:c>
      <x:c r="H29" s="34" t="n">
        <x:f>'收入构成'!E16</x:f>
        <x:v>45</x:v>
      </x:c>
      <x:c r="I29" s="34" t="n">
        <x:f>IF(H29=0,0,H29*SUM(B29:D29)+E29*'参数设置'!C12)</x:f>
        <x:v>36</x:v>
      </x:c>
      <x:c r="J29" s="34" t="n">
        <x:f>'收入构成'!F16</x:f>
        <x:v>70</x:v>
      </x:c>
      <x:c r="K29" s="34" t="n">
        <x:f>IF(J29=0,0,J29*SUM(B29:D29)+E29*'参数设置'!D12)</x:f>
        <x:v>46</x:v>
      </x:c>
      <x:c r="L29" s="34" t="n">
        <x:f>'收入构成'!G16</x:f>
        <x:v>70</x:v>
      </x:c>
      <x:c r="M29" s="34" t="n">
        <x:f>IF(L29=0,0,L29*SUM(B29:D29)+E29*'参数设置'!E12)</x:f>
        <x:v>46</x:v>
      </x:c>
      <x:c r="N29" s="34" t="n">
        <x:f>L29-M29</x:f>
        <x:v>24</x:v>
      </x:c>
      <x:c r="O29" s="33" t="n">
        <x:f>IF(L29=0,0,N29/L29)</x:f>
        <x:v>0.34285714285714286</x:v>
      </x:c>
      <x:c r="P29" s="27" t="str">
        <x:v>季节人工、耗材、保险</x:v>
      </x:c>
    </x:row>
    <x:row r="30">
      <x:c r="A30" s="27" t="str">
        <x:v>森林剧场</x:v>
      </x:c>
      <x:c r="B30" s="40" t="n">
        <x:v>0.3</x:v>
      </x:c>
      <x:c r="C30" s="40" t="n">
        <x:v>0.05</x:v>
      </x:c>
      <x:c r="D30" s="40" t="n">
        <x:v>0</x:v>
      </x:c>
      <x:c r="E30" s="32" t="n">
        <x:v>45</x:v>
      </x:c>
      <x:c r="F30" s="34" t="n">
        <x:f>'收入构成'!D17</x:f>
        <x:v>144</x:v>
      </x:c>
      <x:c r="G30" s="34" t="n">
        <x:f>IF(F30=0,0,F30*SUM(B30:D30)+E30*'参数设置'!B12)</x:f>
        <x:v>86.4</x:v>
      </x:c>
      <x:c r="H30" s="34" t="n">
        <x:f>'收入构成'!E17</x:f>
        <x:v>180</x:v>
      </x:c>
      <x:c r="I30" s="34" t="n">
        <x:f>IF(H30=0,0,H30*SUM(B30:D30)+E30*'参数设置'!C12)</x:f>
        <x:v>103.5</x:v>
      </x:c>
      <x:c r="J30" s="34" t="n">
        <x:f>'收入构成'!F17</x:f>
        <x:v>240</x:v>
      </x:c>
      <x:c r="K30" s="34" t="n">
        <x:f>IF(J30=0,0,J30*SUM(B30:D30)+E30*'参数设置'!D12)</x:f>
        <x:v>129</x:v>
      </x:c>
      <x:c r="L30" s="34" t="n">
        <x:f>'收入构成'!G17</x:f>
        <x:v>240</x:v>
      </x:c>
      <x:c r="M30" s="34" t="n">
        <x:f>IF(L30=0,0,L30*SUM(B30:D30)+E30*'参数设置'!E12)</x:f>
        <x:v>129</x:v>
      </x:c>
      <x:c r="N30" s="34" t="n">
        <x:f>L30-M30</x:f>
        <x:v>111</x:v>
      </x:c>
      <x:c r="O30" s="33" t="n">
        <x:f>IF(L30=0,0,N30/L30)</x:f>
        <x:v>0.4625</x:v>
      </x:c>
      <x:c r="P30" s="27" t="str">
        <x:v>演员、节目、票务与场务</x:v>
      </x:c>
    </x:row>
    <x:row r="31">
      <x:c r="A31" s="27" t="str">
        <x:v>禅修体验</x:v>
      </x:c>
      <x:c r="B31" s="40" t="n">
        <x:v>0.2</x:v>
      </x:c>
      <x:c r="C31" s="40" t="n">
        <x:v>0.05</x:v>
      </x:c>
      <x:c r="D31" s="40" t="n">
        <x:v>0</x:v>
      </x:c>
      <x:c r="E31" s="32" t="n">
        <x:v>10</x:v>
      </x:c>
      <x:c r="F31" s="34" t="n">
        <x:f>'收入构成'!D18</x:f>
        <x:v>20</x:v>
      </x:c>
      <x:c r="G31" s="34" t="n">
        <x:f>IF(F31=0,0,F31*SUM(B31:D31)+E31*'参数设置'!B12)</x:f>
        <x:v>13</x:v>
      </x:c>
      <x:c r="H31" s="34" t="n">
        <x:f>'收入构成'!E18</x:f>
        <x:v>28</x:v>
      </x:c>
      <x:c r="I31" s="34" t="n">
        <x:f>IF(H31=0,0,H31*SUM(B31:D31)+E31*'参数设置'!C12)</x:f>
        <x:v>16</x:v>
      </x:c>
      <x:c r="J31" s="34" t="n">
        <x:f>'收入构成'!F18</x:f>
        <x:v>35</x:v>
      </x:c>
      <x:c r="K31" s="34" t="n">
        <x:f>IF(J31=0,0,J31*SUM(B31:D31)+E31*'参数设置'!D12)</x:f>
        <x:v>18.75</x:v>
      </x:c>
      <x:c r="L31" s="34" t="n">
        <x:f>'收入构成'!G18</x:f>
        <x:v>35</x:v>
      </x:c>
      <x:c r="M31" s="34" t="n">
        <x:f>IF(L31=0,0,L31*SUM(B31:D31)+E31*'参数设置'!E12)</x:f>
        <x:v>18.75</x:v>
      </x:c>
      <x:c r="N31" s="34" t="n">
        <x:f>L31-M31</x:f>
        <x:v>16.25</x:v>
      </x:c>
      <x:c r="O31" s="33" t="n">
        <x:f>IF(L31=0,0,N31/L31)</x:f>
        <x:v>0.4642857142857143</x:v>
      </x:c>
      <x:c r="P31" s="27" t="str">
        <x:v>导师、课程耗材与营销</x:v>
      </x:c>
    </x:row>
    <x:row r="32">
      <x:c r="A32" s="27" t="str">
        <x:v>咖啡及轻餐</x:v>
      </x:c>
      <x:c r="B32" s="40" t="n">
        <x:v>0.32</x:v>
      </x:c>
      <x:c r="C32" s="40" t="n">
        <x:v>0.08</x:v>
      </x:c>
      <x:c r="D32" s="40" t="n">
        <x:v>0</x:v>
      </x:c>
      <x:c r="E32" s="32" t="n">
        <x:v>35</x:v>
      </x:c>
      <x:c r="F32" s="34" t="n">
        <x:f>'收入构成'!D19</x:f>
        <x:v>50</x:v>
      </x:c>
      <x:c r="G32" s="34" t="n">
        <x:f>IF(F32=0,0,F32*SUM(B32:D32)+E32*'参数设置'!B12)</x:f>
        <x:v>48</x:v>
      </x:c>
      <x:c r="H32" s="34" t="n">
        <x:f>'收入构成'!E19</x:f>
        <x:v>75</x:v>
      </x:c>
      <x:c r="I32" s="34" t="n">
        <x:f>IF(H32=0,0,H32*SUM(B32:D32)+E32*'参数设置'!C12)</x:f>
        <x:v>61.5</x:v>
      </x:c>
      <x:c r="J32" s="34" t="n">
        <x:f>'收入构成'!F19</x:f>
        <x:v>100</x:v>
      </x:c>
      <x:c r="K32" s="34" t="n">
        <x:f>IF(J32=0,0,J32*SUM(B32:D32)+E32*'参数设置'!D12)</x:f>
        <x:v>75</x:v>
      </x:c>
      <x:c r="L32" s="34" t="n">
        <x:f>'收入构成'!G19</x:f>
        <x:v>100</x:v>
      </x:c>
      <x:c r="M32" s="34" t="n">
        <x:f>IF(L32=0,0,L32*SUM(B32:D32)+E32*'参数设置'!E12)</x:f>
        <x:v>75</x:v>
      </x:c>
      <x:c r="N32" s="34" t="n">
        <x:f>L32-M32</x:f>
        <x:v>25</x:v>
      </x:c>
      <x:c r="O32" s="33" t="n">
        <x:f>IF(L32=0,0,N32/L32)</x:f>
        <x:v>0.25</x:v>
      </x:c>
      <x:c r="P32" s="27" t="str">
        <x:v>原料、平台及人工能耗</x:v>
      </x:c>
    </x:row>
    <x:row r="33">
      <x:c r="A33" s="27" t="str">
        <x:v>祈福产品</x:v>
      </x:c>
      <x:c r="B33" s="40" t="n">
        <x:v>0.3</x:v>
      </x:c>
      <x:c r="C33" s="40" t="n">
        <x:v>0.03</x:v>
      </x:c>
      <x:c r="D33" s="40" t="n">
        <x:v>0</x:v>
      </x:c>
      <x:c r="E33" s="32" t="n">
        <x:v>5</x:v>
      </x:c>
      <x:c r="F33" s="34" t="n">
        <x:f>'收入构成'!D20</x:f>
        <x:v>30</x:v>
      </x:c>
      <x:c r="G33" s="34" t="n">
        <x:f>IF(F33=0,0,F33*SUM(B33:D33)+E33*'参数设置'!B12)</x:f>
        <x:v>13.899999999999999</x:v>
      </x:c>
      <x:c r="H33" s="34" t="n">
        <x:f>'收入构成'!E20</x:f>
        <x:v>30</x:v>
      </x:c>
      <x:c r="I33" s="34" t="n">
        <x:f>IF(H33=0,0,H33*SUM(B33:D33)+E33*'参数设置'!C12)</x:f>
        <x:v>14.399999999999999</x:v>
      </x:c>
      <x:c r="J33" s="34" t="n">
        <x:f>'收入构成'!F20</x:f>
        <x:v>30</x:v>
      </x:c>
      <x:c r="K33" s="34" t="n">
        <x:f>IF(J33=0,0,J33*SUM(B33:D33)+E33*'参数设置'!D12)</x:f>
        <x:v>14.899999999999999</x:v>
      </x:c>
      <x:c r="L33" s="34" t="n">
        <x:f>'收入构成'!G20</x:f>
        <x:v>30</x:v>
      </x:c>
      <x:c r="M33" s="34" t="n">
        <x:f>IF(L33=0,0,L33*SUM(B33:D33)+E33*'参数设置'!E12)</x:f>
        <x:v>14.899999999999999</x:v>
      </x:c>
      <x:c r="N33" s="34" t="n">
        <x:f>L33-M33</x:f>
        <x:v>15.100000000000001</x:v>
      </x:c>
      <x:c r="O33" s="33" t="n">
        <x:f>IF(L33=0,0,N33/L33)</x:f>
        <x:v>0.5033333333333334</x:v>
      </x:c>
      <x:c r="P33" s="27" t="str">
        <x:v>产品采购及基础服务</x:v>
      </x:c>
    </x:row>
    <x:row r="34">
      <x:c r="A34" s="27" t="str">
        <x:v>树屋/场地综合</x:v>
      </x:c>
      <x:c r="B34" s="40" t="n">
        <x:v>0.25</x:v>
      </x:c>
      <x:c r="C34" s="40" t="n">
        <x:v>0.08</x:v>
      </x:c>
      <x:c r="D34" s="40" t="n">
        <x:v>0</x:v>
      </x:c>
      <x:c r="E34" s="32" t="n">
        <x:v>35</x:v>
      </x:c>
      <x:c r="F34" s="34" t="n">
        <x:f>'收入构成'!D21</x:f>
        <x:v>120</x:v>
      </x:c>
      <x:c r="G34" s="34" t="n">
        <x:f>IF(F34=0,0,F34*SUM(B34:D34)+E34*'参数设置'!B12)</x:f>
        <x:v>67.6</x:v>
      </x:c>
      <x:c r="H34" s="34" t="n">
        <x:f>'收入构成'!E21</x:f>
        <x:v>120</x:v>
      </x:c>
      <x:c r="I34" s="34" t="n">
        <x:f>IF(H34=0,0,H34*SUM(B34:D34)+E34*'参数设置'!C12)</x:f>
        <x:v>71.1</x:v>
      </x:c>
      <x:c r="J34" s="34" t="n">
        <x:f>'收入构成'!F21</x:f>
        <x:v>120</x:v>
      </x:c>
      <x:c r="K34" s="34" t="n">
        <x:f>IF(J34=0,0,J34*SUM(B34:D34)+E34*'参数设置'!D12)</x:f>
        <x:v>74.6</x:v>
      </x:c>
      <x:c r="L34" s="34" t="n">
        <x:f>'收入构成'!G21</x:f>
        <x:v>120</x:v>
      </x:c>
      <x:c r="M34" s="34" t="n">
        <x:f>IF(L34=0,0,L34*SUM(B34:D34)+E34*'参数设置'!E12)</x:f>
        <x:v>74.6</x:v>
      </x:c>
      <x:c r="N34" s="34" t="n">
        <x:f>L34-M34</x:f>
        <x:v>45.400000000000006</x:v>
      </x:c>
      <x:c r="O34" s="33" t="n">
        <x:f>IF(L34=0,0,N34/L34)</x:f>
        <x:v>0.37833333333333335</x:v>
      </x:c>
      <x:c r="P34" s="27" t="str">
        <x:v>布草、清洁、OTA及维护</x:v>
      </x:c>
    </x:row>
    <x:row r="35">
      <x:c r="A35" s="27" t="str">
        <x:v>洞藏酒/酒窖体验</x:v>
      </x:c>
      <x:c r="B35" s="40" t="n">
        <x:v>0.35</x:v>
      </x:c>
      <x:c r="C35" s="40" t="n">
        <x:v>0.05</x:v>
      </x:c>
      <x:c r="D35" s="40" t="n">
        <x:v>0</x:v>
      </x:c>
      <x:c r="E35" s="32" t="n">
        <x:v>15</x:v>
      </x:c>
      <x:c r="F35" s="34" t="n">
        <x:f>'收入构成'!D22</x:f>
        <x:v>30</x:v>
      </x:c>
      <x:c r="G35" s="34" t="n">
        <x:f>IF(F35=0,0,F35*SUM(B35:D35)+E35*'参数设置'!B12)</x:f>
        <x:v>24</x:v>
      </x:c>
      <x:c r="H35" s="34" t="n">
        <x:f>'收入构成'!E22</x:f>
        <x:v>50</x:v>
      </x:c>
      <x:c r="I35" s="34" t="n">
        <x:f>IF(H35=0,0,H35*SUM(B35:D35)+E35*'参数设置'!C12)</x:f>
        <x:v>33.5</x:v>
      </x:c>
      <x:c r="J35" s="34" t="n">
        <x:f>'收入构成'!F22</x:f>
        <x:v>70</x:v>
      </x:c>
      <x:c r="K35" s="34" t="n">
        <x:f>IF(J35=0,0,J35*SUM(B35:D35)+E35*'参数设置'!D12)</x:f>
        <x:v>43</x:v>
      </x:c>
      <x:c r="L35" s="34" t="n">
        <x:f>'收入构成'!G22</x:f>
        <x:v>70</x:v>
      </x:c>
      <x:c r="M35" s="34" t="n">
        <x:f>IF(L35=0,0,L35*SUM(B35:D35)+E35*'参数设置'!E12)</x:f>
        <x:v>43</x:v>
      </x:c>
      <x:c r="N35" s="34" t="n">
        <x:f>L35-M35</x:f>
        <x:v>27</x:v>
      </x:c>
      <x:c r="O35" s="33" t="n">
        <x:f>IF(L35=0,0,N35/L35)</x:f>
        <x:v>0.38571428571428573</x:v>
      </x:c>
      <x:c r="P35" s="27" t="str">
        <x:v>酒品、包装、库存与营销</x:v>
      </x:c>
    </x:row>
    <x:row r="36">
      <x:c r="A36" s="27" t="str">
        <x:v>园内交通</x:v>
      </x:c>
      <x:c r="B36" s="40" t="n">
        <x:v>0.25</x:v>
      </x:c>
      <x:c r="C36" s="40" t="n">
        <x:v>0.05</x:v>
      </x:c>
      <x:c r="D36" s="40" t="n">
        <x:v>0</x:v>
      </x:c>
      <x:c r="E36" s="32" t="n">
        <x:v>30</x:v>
      </x:c>
      <x:c r="F36" s="34" t="n">
        <x:f>'收入构成'!D23</x:f>
        <x:v>150</x:v>
      </x:c>
      <x:c r="G36" s="34" t="n">
        <x:f>IF(F36=0,0,F36*SUM(B36:D36)+E36*'参数设置'!B12)</x:f>
        <x:v>69</x:v>
      </x:c>
      <x:c r="H36" s="34" t="n">
        <x:f>'收入构成'!E23</x:f>
        <x:v>160</x:v>
      </x:c>
      <x:c r="I36" s="34" t="n">
        <x:f>IF(H36=0,0,H36*SUM(B36:D36)+E36*'参数设置'!C12)</x:f>
        <x:v>75</x:v>
      </x:c>
      <x:c r="J36" s="34" t="n">
        <x:f>'收入构成'!F23</x:f>
        <x:v>170</x:v>
      </x:c>
      <x:c r="K36" s="34" t="n">
        <x:f>IF(J36=0,0,J36*SUM(B36:D36)+E36*'参数设置'!D12)</x:f>
        <x:v>81</x:v>
      </x:c>
      <x:c r="L36" s="34" t="n">
        <x:f>'收入构成'!G23</x:f>
        <x:v>170</x:v>
      </x:c>
      <x:c r="M36" s="34" t="n">
        <x:f>IF(L36=0,0,L36*SUM(B36:D36)+E36*'参数设置'!E12)</x:f>
        <x:v>81</x:v>
      </x:c>
      <x:c r="N36" s="34" t="n">
        <x:f>L36-M36</x:f>
        <x:v>89</x:v>
      </x:c>
      <x:c r="O36" s="33" t="n">
        <x:f>IF(L36=0,0,N36/L36)</x:f>
        <x:v>0.5235294117647059</x:v>
      </x:c>
      <x:c r="P36" s="27" t="str">
        <x:v>人工、能源、维保与保险</x:v>
      </x:c>
    </x:row>
    <x:row r="37">
      <x:c r="A37" s="27" t="str">
        <x:v>研学课程（公共部分）</x:v>
      </x:c>
      <x:c r="B37" s="40" t="n">
        <x:v>0.2</x:v>
      </x:c>
      <x:c r="C37" s="40" t="n">
        <x:v>0.05</x:v>
      </x:c>
      <x:c r="D37" s="40" t="n">
        <x:v>0</x:v>
      </x:c>
      <x:c r="E37" s="32" t="n">
        <x:v>30</x:v>
      </x:c>
      <x:c r="F37" s="34" t="n">
        <x:f>'收入构成'!D24</x:f>
        <x:v>0</x:v>
      </x:c>
      <x:c r="G37" s="34" t="n">
        <x:f>IF(F37=0,0,F37*SUM(B37:D37)+E37*'参数设置'!B12)</x:f>
        <x:v>0</x:v>
      </x:c>
      <x:c r="H37" s="34" t="n">
        <x:f>'收入构成'!E24</x:f>
        <x:v>80</x:v>
      </x:c>
      <x:c r="I37" s="34" t="n">
        <x:f>IF(H37=0,0,H37*SUM(B37:D37)+E37*'参数设置'!C12)</x:f>
        <x:v>47</x:v>
      </x:c>
      <x:c r="J37" s="34" t="n">
        <x:f>'收入构成'!F24</x:f>
        <x:v>130</x:v>
      </x:c>
      <x:c r="K37" s="34" t="n">
        <x:f>IF(J37=0,0,J37*SUM(B37:D37)+E37*'参数设置'!D12)</x:f>
        <x:v>62.5</x:v>
      </x:c>
      <x:c r="L37" s="34" t="n">
        <x:f>'收入构成'!G24</x:f>
        <x:v>130</x:v>
      </x:c>
      <x:c r="M37" s="34" t="n">
        <x:f>IF(L37=0,0,L37*SUM(B37:D37)+E37*'参数设置'!E12)</x:f>
        <x:v>62.5</x:v>
      </x:c>
      <x:c r="N37" s="34" t="n">
        <x:f>L37-M37</x:f>
        <x:v>67.5</x:v>
      </x:c>
      <x:c r="O37" s="33" t="n">
        <x:f>IF(L37=0,0,N37/L37)</x:f>
        <x:v>0.5192307692307693</x:v>
      </x:c>
      <x:c r="P37" s="27" t="str">
        <x:v>导师、课程材料及渠道</x:v>
      </x:c>
    </x:row>
    <x:row r="38">
      <x:c r="A38" s="27" t="str">
        <x:v>夜游/主题活动</x:v>
      </x:c>
      <x:c r="B38" s="40" t="n">
        <x:v>0.25</x:v>
      </x:c>
      <x:c r="C38" s="40" t="n">
        <x:v>0.08</x:v>
      </x:c>
      <x:c r="D38" s="40" t="n">
        <x:v>0</x:v>
      </x:c>
      <x:c r="E38" s="32" t="n">
        <x:v>40</x:v>
      </x:c>
      <x:c r="F38" s="34" t="n">
        <x:f>'收入构成'!D25</x:f>
        <x:v>0</x:v>
      </x:c>
      <x:c r="G38" s="34" t="n">
        <x:f>IF(F38=0,0,F38*SUM(B38:D38)+E38*'参数设置'!B12)</x:f>
        <x:v>0</x:v>
      </x:c>
      <x:c r="H38" s="34" t="n">
        <x:f>'收入构成'!E25</x:f>
        <x:v>100</x:v>
      </x:c>
      <x:c r="I38" s="34" t="n">
        <x:f>IF(H38=0,0,H38*SUM(B38:D38)+E38*'参数设置'!C12)</x:f>
        <x:v>69</x:v>
      </x:c>
      <x:c r="J38" s="34" t="n">
        <x:f>'收入构成'!F25</x:f>
        <x:v>200</x:v>
      </x:c>
      <x:c r="K38" s="34" t="n">
        <x:f>IF(J38=0,0,J38*SUM(B38:D38)+E38*'参数设置'!D12)</x:f>
        <x:v>106</x:v>
      </x:c>
      <x:c r="L38" s="34" t="n">
        <x:f>'收入构成'!G25</x:f>
        <x:v>200</x:v>
      </x:c>
      <x:c r="M38" s="34" t="n">
        <x:f>IF(L38=0,0,L38*SUM(B38:D38)+E38*'参数设置'!E12)</x:f>
        <x:v>106</x:v>
      </x:c>
      <x:c r="N38" s="34" t="n">
        <x:f>L38-M38</x:f>
        <x:v>94</x:v>
      </x:c>
      <x:c r="O38" s="33" t="n">
        <x:f>IF(L38=0,0,N38/L38)</x:f>
        <x:v>0.47</x:v>
      </x:c>
      <x:c r="P38" s="27" t="str">
        <x:v>演艺人员、活动耗材及营销</x:v>
      </x:c>
    </x:row>
    <x:row r="39">
      <x:c r="A39" s="27" t="str">
        <x:v>旅拍</x:v>
      </x:c>
      <x:c r="B39" s="40" t="n">
        <x:v>0.3</x:v>
      </x:c>
      <x:c r="C39" s="40" t="n">
        <x:v>0.1</x:v>
      </x:c>
      <x:c r="D39" s="40" t="n">
        <x:v>0</x:v>
      </x:c>
      <x:c r="E39" s="32" t="n">
        <x:v>18</x:v>
      </x:c>
      <x:c r="F39" s="34" t="n">
        <x:f>'收入构成'!D26</x:f>
        <x:v>0</x:v>
      </x:c>
      <x:c r="G39" s="34" t="n">
        <x:f>IF(F39=0,0,F39*SUM(B39:D39)+E39*'参数设置'!B12)</x:f>
        <x:v>0</x:v>
      </x:c>
      <x:c r="H39" s="34" t="n">
        <x:f>'收入构成'!E26</x:f>
        <x:v>45</x:v>
      </x:c>
      <x:c r="I39" s="34" t="n">
        <x:f>IF(H39=0,0,H39*SUM(B39:D39)+E39*'参数设置'!C12)</x:f>
        <x:v>34.2</x:v>
      </x:c>
      <x:c r="J39" s="34" t="n">
        <x:f>'收入构成'!F26</x:f>
        <x:v>100</x:v>
      </x:c>
      <x:c r="K39" s="34" t="n">
        <x:f>IF(J39=0,0,J39*SUM(B39:D39)+E39*'参数设置'!D12)</x:f>
        <x:v>58</x:v>
      </x:c>
      <x:c r="L39" s="34" t="n">
        <x:f>'收入构成'!G26</x:f>
        <x:v>100</x:v>
      </x:c>
      <x:c r="M39" s="34" t="n">
        <x:f>IF(L39=0,0,L39*SUM(B39:D39)+E39*'参数设置'!E12)</x:f>
        <x:v>58</x:v>
      </x:c>
      <x:c r="N39" s="34" t="n">
        <x:f>L39-M39</x:f>
        <x:v>42</x:v>
      </x:c>
      <x:c r="O39" s="33" t="n">
        <x:f>IF(L39=0,0,N39/L39)</x:f>
        <x:v>0.42</x:v>
      </x:c>
      <x:c r="P39" s="27" t="str">
        <x:v>摄影团队、服化道合作及平台分佣</x:v>
      </x:c>
    </x:row>
    <x:row r="40">
      <x:c r="A40" s="27" t="str">
        <x:v>轻康养/森林课程</x:v>
      </x:c>
      <x:c r="B40" s="40" t="n">
        <x:v>0.25</x:v>
      </x:c>
      <x:c r="C40" s="40" t="n">
        <x:v>0.08</x:v>
      </x:c>
      <x:c r="D40" s="40" t="n">
        <x:v>0</x:v>
      </x:c>
      <x:c r="E40" s="32" t="n">
        <x:v>10</x:v>
      </x:c>
      <x:c r="F40" s="34" t="n">
        <x:f>'收入构成'!D27</x:f>
        <x:v>0</x:v>
      </x:c>
      <x:c r="G40" s="34" t="n">
        <x:f>IF(F40=0,0,F40*SUM(B40:D40)+E40*'参数设置'!B12)</x:f>
        <x:v>0</x:v>
      </x:c>
      <x:c r="H40" s="34" t="n">
        <x:f>'收入构成'!E27</x:f>
        <x:v>12</x:v>
      </x:c>
      <x:c r="I40" s="34" t="n">
        <x:f>IF(H40=0,0,H40*SUM(B40:D40)+E40*'参数设置'!C12)</x:f>
        <x:v>12.96</x:v>
      </x:c>
      <x:c r="J40" s="34" t="n">
        <x:f>'收入构成'!F27</x:f>
        <x:v>27.248</x:v>
      </x:c>
      <x:c r="K40" s="34" t="n">
        <x:f>IF(J40=0,0,J40*SUM(B40:D40)+E40*'参数设置'!D12)</x:f>
        <x:v>18.991840000000003</x:v>
      </x:c>
      <x:c r="L40" s="34" t="n">
        <x:f>'收入构成'!G27</x:f>
        <x:v>27.248</x:v>
      </x:c>
      <x:c r="M40" s="34" t="n">
        <x:f>IF(L40=0,0,L40*SUM(B40:D40)+E40*'参数设置'!E12)</x:f>
        <x:v>18.991840000000003</x:v>
      </x:c>
      <x:c r="N40" s="34" t="n">
        <x:f>L40-M40</x:f>
        <x:v>8.256159999999998</x:v>
      </x:c>
      <x:c r="O40" s="33" t="n">
        <x:f>IF(L40=0,0,N40/L40)</x:f>
        <x:v>0.30300058719906037</x:v>
      </x:c>
      <x:c r="P40" s="27" t="str">
        <x:v>导师、课程用品及获客</x:v>
      </x:c>
    </x:row>
    <x:row r="41">
      <x:c r="A41" s="35" t="str">
        <x:v>项目合计</x:v>
      </x:c>
      <x:c r="B41" s="35"/>
      <x:c r="C41" s="35"/>
      <x:c r="D41" s="35"/>
      <x:c r="E41" s="36"/>
      <x:c r="F41" s="36" t="n">
        <x:f>SUM(F19:F40)</x:f>
        <x:v>2972.4849999945</x:v>
      </x:c>
      <x:c r="G41" s="36" t="n">
        <x:f>SUM(G19:G40)</x:f>
        <x:v>1993.5781045392155</x:v>
      </x:c>
      <x:c r="H41" s="36" t="n">
        <x:f>SUM(H19:H40)</x:f>
        <x:v>3999.999999989</x:v>
      </x:c>
      <x:c r="I41" s="36" t="n">
        <x:f>SUM(I19:I40)</x:f>
        <x:v>2488.9107628090733</x:v>
      </x:c>
      <x:c r="J41" s="36" t="n">
        <x:f>SUM(J19:J40)</x:f>
        <x:v>5000</x:v>
      </x:c>
      <x:c r="K41" s="36" t="n">
        <x:f>SUM(K19:K40)</x:f>
        <x:v>2891.4184800000007</x:v>
      </x:c>
      <x:c r="L41" s="36" t="n">
        <x:f>SUM(L19:L40)</x:f>
        <x:v>5000</x:v>
      </x:c>
      <x:c r="M41" s="36" t="n">
        <x:f>SUM(M19:M40)</x:f>
        <x:v>2886.4184800000007</x:v>
      </x:c>
      <x:c r="N41" s="36" t="n">
        <x:f>SUM(N19:N40)</x:f>
        <x:v>2113.58152</x:v>
      </x:c>
      <x:c r="O41" s="37" t="n">
        <x:f>N41/L41</x:f>
        <x:v>0.42271630400000004</x:v>
      </x:c>
      <x:c r="P41" s="35"/>
    </x:row>
  </x:sheetData>
  <x:mergeCells>
    <x:mergeCell ref="A1:P2"/>
    <x:mergeCell ref="A41:E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6921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34" hidden="0" customWidth="1"/>
  </x:cols>
  <x:sheetData>
    <x:row r="1" ht="34" customHeight="1">
      <x:c r="A1" s="4" t="str">
        <x:v>经营合理性与容量校验｜稳定期5,000万元</x:v>
      </x:c>
      <x:c r="B1" s="4" t="str">
        <x:v>经营合理性与容量校验｜稳定期5,000万元</x:v>
      </x:c>
      <x:c r="C1" s="4" t="str">
        <x:v>经营合理性与容量校验｜稳定期5,000万元</x:v>
      </x:c>
      <x:c r="D1" s="4" t="str">
        <x:v>经营合理性与容量校验｜稳定期5,000万元</x:v>
      </x:c>
      <x:c r="E1" s="4" t="str">
        <x:v>经营合理性与容量校验｜稳定期5,000万元</x:v>
      </x:c>
      <x:c r="F1" s="4" t="str">
        <x:v>经营合理性与容量校验｜稳定期5,000万元</x:v>
      </x:c>
      <x:c r="G1" s="4" t="str">
        <x:v>经营合理性与容量校验｜稳定期5,000万元</x:v>
      </x:c>
      <x:c r="H1" s="4" t="str">
        <x:v>经营合理性与容量校验｜稳定期5,000万元</x:v>
      </x:c>
      <x:c r="I1" s="4" t="str">
        <x:v>经营合理性与容量校验｜稳定期5,000万元</x:v>
      </x:c>
      <x:c r="J1" s="4" t="str">
        <x:v>经营合理性与容量校验｜稳定期5,000万元</x:v>
      </x:c>
      <x:c r="K1" s="4" t="str">
        <x:v>经营合理性与容量校验｜稳定期5,000万元</x:v>
      </x:c>
      <x:c r="L1" s="4" t="str">
        <x:v>经营合理性与容量校验｜稳定期5,000万元</x:v>
      </x:c>
      <x:c r="M1" s="4" t="str">
        <x:v>经营合理性与容量校验｜稳定期5,000万元</x:v>
      </x:c>
    </x:row>
    <x:row r="2" ht="34" customHeight="1">
      <x:c r="A2" s="4" t="str">
        <x:v>经营合理性与容量校验｜稳定期5,000万元</x:v>
      </x:c>
      <x:c r="B2" s="4" t="str">
        <x:v>经营合理性与容量校验｜稳定期5,000万元</x:v>
      </x:c>
      <x:c r="C2" s="4" t="str">
        <x:v>经营合理性与容量校验｜稳定期5,000万元</x:v>
      </x:c>
      <x:c r="D2" s="4" t="str">
        <x:v>经营合理性与容量校验｜稳定期5,000万元</x:v>
      </x:c>
      <x:c r="E2" s="4" t="str">
        <x:v>经营合理性与容量校验｜稳定期5,000万元</x:v>
      </x:c>
      <x:c r="F2" s="4" t="str">
        <x:v>经营合理性与容量校验｜稳定期5,000万元</x:v>
      </x:c>
      <x:c r="G2" s="4" t="str">
        <x:v>经营合理性与容量校验｜稳定期5,000万元</x:v>
      </x:c>
      <x:c r="H2" s="4" t="str">
        <x:v>经营合理性与容量校验｜稳定期5,000万元</x:v>
      </x:c>
      <x:c r="I2" s="4" t="str">
        <x:v>经营合理性与容量校验｜稳定期5,000万元</x:v>
      </x:c>
      <x:c r="J2" s="4" t="str">
        <x:v>经营合理性与容量校验｜稳定期5,000万元</x:v>
      </x:c>
      <x:c r="K2" s="4" t="str">
        <x:v>经营合理性与容量校验｜稳定期5,000万元</x:v>
      </x:c>
      <x:c r="L2" s="4" t="str">
        <x:v>经营合理性与容量校验｜稳定期5,000万元</x:v>
      </x:c>
      <x:c r="M2" s="4" t="str">
        <x:v>经营合理性与容量校验｜稳定期5,000万元</x:v>
      </x:c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>
      <x:c r="A4" s="10" t="str">
        <x:v>经营项目</x:v>
      </x:c>
      <x:c r="B4" s="10" t="str">
        <x:v>容量单位</x:v>
      </x:c>
      <x:c r="C4" s="10" t="str">
        <x:v>容量数量</x:v>
      </x:c>
      <x:c r="D4" s="10" t="str">
        <x:v>合理上限：日周转/场次</x:v>
      </x:c>
      <x:c r="E4" s="10" t="str">
        <x:v>经营天数/年</x:v>
      </x:c>
      <x:c r="F4" s="10" t="str">
        <x:v>合理利用率/转化率</x:v>
      </x:c>
      <x:c r="G4" s="10" t="str">
        <x:v>平均客单价（元）</x:v>
      </x:c>
      <x:c r="H4" s="10" t="str">
        <x:v>合理收入上限（万元）</x:v>
      </x:c>
      <x:c r="I4" s="10" t="str">
        <x:v>稳定期目标（万元）</x:v>
      </x:c>
      <x:c r="J4" s="10" t="str">
        <x:v>目标/上限</x:v>
      </x:c>
      <x:c r="K4" s="10" t="str">
        <x:v>达到目标所需周转/场次</x:v>
      </x:c>
      <x:c r="L4" s="10" t="str">
        <x:v>校验</x:v>
      </x:c>
      <x:c r="M4" s="10" t="str">
        <x:v>说明</x:v>
      </x:c>
    </x:row>
    <x:row r="5">
      <x:c r="A5" s="27" t="str">
        <x:v>萌宠马戏</x:v>
      </x:c>
      <x:c r="B5" s="27" t="str">
        <x:v>座位</x:v>
      </x:c>
      <x:c r="C5" s="32" t="n">
        <x:v>600</x:v>
      </x:c>
      <x:c r="D5" s="32" t="n">
        <x:v>1.5</x:v>
      </x:c>
      <x:c r="E5" s="32" t="n">
        <x:v>220</x:v>
      </x:c>
      <x:c r="F5" s="40" t="n">
        <x:v>0.75</x:v>
      </x:c>
      <x:c r="G5" s="32" t="n">
        <x:v>72.15</x:v>
      </x:c>
      <x:c r="H5" s="34" t="n">
        <x:f>C5*D5*E5*F5*G5/10000</x:f>
        <x:v>1071.4275</x:v>
      </x:c>
      <x:c r="I5" s="34" t="n">
        <x:f>'收入构成'!G5</x:f>
        <x:v>800</x:v>
      </x:c>
      <x:c r="J5" s="33" t="n">
        <x:f>I5/H5</x:f>
        <x:v>0.74666741333408</x:v>
      </x:c>
      <x:c r="K5" s="34" t="n">
        <x:f>I5*10000/(C5*E5*F5*G5)</x:f>
        <x:v>1.12000112000112</x:v>
      </x:c>
      <x:c r="L5" s="27" t="str">
        <x:f>IF(J5&lt;=1,"合理","超出合理上限")</x:f>
        <x:v>合理</x:v>
      </x:c>
      <x:c r="M5" s="27" t="str">
        <x:v>演出场次与上座率双约束</x:v>
      </x:c>
    </x:row>
    <x:row r="6">
      <x:c r="A6" s="27" t="str">
        <x:v>超级宝贝王门票/体验</x:v>
      </x:c>
      <x:c r="B6" s="27" t="str">
        <x:v>年接待人次</x:v>
      </x:c>
      <x:c r="C6" s="32" t="n">
        <x:v>400000</x:v>
      </x:c>
      <x:c r="D6" s="32" t="n">
        <x:v>1</x:v>
      </x:c>
      <x:c r="E6" s="32" t="n">
        <x:v>1</x:v>
      </x:c>
      <x:c r="F6" s="40" t="n">
        <x:v>1</x:v>
      </x:c>
      <x:c r="G6" s="32" t="n">
        <x:v>36.2</x:v>
      </x:c>
      <x:c r="H6" s="34" t="n">
        <x:f>C6*D6*E6*F6*G6/10000</x:f>
        <x:v>1448.0000000000002</x:v>
      </x:c>
      <x:c r="I6" s="34" t="n">
        <x:f>'收入构成'!G6</x:f>
        <x:v>1234.3200000000002</x:v>
      </x:c>
      <x:c r="J6" s="33" t="n">
        <x:f>I6/H6</x:f>
        <x:v>0.8524309392265194</x:v>
      </x:c>
      <x:c r="K6" s="34" t="n">
        <x:f>I6*10000/(C6*E6*F6*G6)</x:f>
        <x:v>0.8524309392265194</x:v>
      </x:c>
      <x:c r="L6" s="27" t="str">
        <x:f>IF(J6&lt;=1,"合理","超出合理上限")</x:f>
        <x:v>合理</x:v>
      </x:c>
      <x:c r="M6" s="27" t="str">
        <x:v>按34.096万人、综合客单36.2元测算</x:v>
      </x:c>
    </x:row>
    <x:row r="7">
      <x:c r="A7" s="27" t="str">
        <x:v>超级宝贝王园内二消</x:v>
      </x:c>
      <x:c r="B7" s="27" t="str">
        <x:v>宝贝王游客</x:v>
      </x:c>
      <x:c r="C7" s="32" t="n">
        <x:v>340960</x:v>
      </x:c>
      <x:c r="D7" s="32" t="n">
        <x:v>1</x:v>
      </x:c>
      <x:c r="E7" s="32" t="n">
        <x:v>1</x:v>
      </x:c>
      <x:c r="F7" s="40" t="n">
        <x:v>0.35</x:v>
      </x:c>
      <x:c r="G7" s="32" t="n">
        <x:v>15</x:v>
      </x:c>
      <x:c r="H7" s="34" t="n">
        <x:f>C7*D7*E7*F7*G7/10000</x:f>
        <x:v>179.004</x:v>
      </x:c>
      <x:c r="I7" s="34" t="n">
        <x:f>'收入构成'!G7</x:f>
        <x:v>153.43200000000002</x:v>
      </x:c>
      <x:c r="J7" s="33" t="n">
        <x:f>I7/H7</x:f>
        <x:v>0.8571428571428573</x:v>
      </x:c>
      <x:c r="K7" s="34" t="n">
        <x:f>I7*10000/(C7*E7*F7*G7)</x:f>
        <x:v>0.8571428571428574</x:v>
      </x:c>
      <x:c r="L7" s="27" t="str">
        <x:f>IF(J7&lt;=1,"合理","超出合理上限")</x:f>
        <x:v>合理</x:v>
      </x:c>
      <x:c r="M7" s="27" t="str">
        <x:v>目标转化率30%，上限按35%</x:v>
      </x:c>
    </x:row>
    <x:row r="8">
      <x:c r="A8" s="27" t="str">
        <x:v>公园文创礼品</x:v>
      </x:c>
      <x:c r="B8" s="27" t="str">
        <x:v>全园游客</x:v>
      </x:c>
      <x:c r="C8" s="32" t="n">
        <x:v>800000</x:v>
      </x:c>
      <x:c r="D8" s="32" t="n">
        <x:v>1</x:v>
      </x:c>
      <x:c r="E8" s="32" t="n">
        <x:v>1</x:v>
      </x:c>
      <x:c r="F8" s="40" t="n">
        <x:v>0.1</x:v>
      </x:c>
      <x:c r="G8" s="32" t="n">
        <x:v>60</x:v>
      </x:c>
      <x:c r="H8" s="34" t="n">
        <x:f>C8*D8*E8*F8*G8/10000</x:f>
        <x:v>480</x:v>
      </x:c>
      <x:c r="I8" s="34" t="n">
        <x:f>'收入构成'!G8</x:f>
        <x:v>420</x:v>
      </x:c>
      <x:c r="J8" s="33" t="n">
        <x:f>I8/H8</x:f>
        <x:v>0.875</x:v>
      </x:c>
      <x:c r="K8" s="34" t="n">
        <x:f>I8*10000/(C8*E8*F8*G8)</x:f>
        <x:v>0.875</x:v>
      </x:c>
      <x:c r="L8" s="27" t="str">
        <x:f>IF(J8&lt;=1,"合理","超出合理上限")</x:f>
        <x:v>合理</x:v>
      </x:c>
      <x:c r="M8" s="27" t="str">
        <x:v>稳定期按8.75%购买转化</x:v>
      </x:c>
    </x:row>
    <x:row r="9">
      <x:c r="A9" s="27" t="str">
        <x:v>萌宠动物互动</x:v>
      </x:c>
      <x:c r="B9" s="27" t="str">
        <x:v>日接待人次</x:v>
      </x:c>
      <x:c r="C9" s="32" t="n">
        <x:v>350</x:v>
      </x:c>
      <x:c r="D9" s="32" t="n">
        <x:v>1</x:v>
      </x:c>
      <x:c r="E9" s="32" t="n">
        <x:v>220</x:v>
      </x:c>
      <x:c r="F9" s="40" t="n">
        <x:v>0.65</x:v>
      </x:c>
      <x:c r="G9" s="32" t="n">
        <x:v>20</x:v>
      </x:c>
      <x:c r="H9" s="34" t="n">
        <x:f>C9*D9*E9*F9*G9/10000</x:f>
        <x:v>100.1</x:v>
      </x:c>
      <x:c r="I9" s="34" t="n">
        <x:f>'收入构成'!G9</x:f>
        <x:v>80</x:v>
      </x:c>
      <x:c r="J9" s="33" t="n">
        <x:f>I9/H9</x:f>
        <x:v>0.7992007992007992</x:v>
      </x:c>
      <x:c r="K9" s="34" t="n">
        <x:f>I9*10000/(C9*E9*F9*G9)</x:f>
        <x:v>0.7992007992007992</x:v>
      </x:c>
      <x:c r="L9" s="27" t="str">
        <x:f>IF(J9&lt;=1,"合理","超出合理上限")</x:f>
        <x:v>合理</x:v>
      </x:c>
      <x:c r="M9" s="27" t="str">
        <x:v>按互动接待能力控制</x:v>
      </x:c>
    </x:row>
    <x:row r="10">
      <x:c r="A10" s="27" t="str">
        <x:v>影院/沉浸内容</x:v>
      </x:c>
      <x:c r="B10" s="27" t="str">
        <x:v>座位</x:v>
      </x:c>
      <x:c r="C10" s="32" t="n">
        <x:v>160</x:v>
      </x:c>
      <x:c r="D10" s="32" t="n">
        <x:v>2.2</x:v>
      </x:c>
      <x:c r="E10" s="32" t="n">
        <x:v>250</x:v>
      </x:c>
      <x:c r="F10" s="40" t="n">
        <x:v>0.7</x:v>
      </x:c>
      <x:c r="G10" s="32" t="n">
        <x:v>20</x:v>
      </x:c>
      <x:c r="H10" s="34" t="n">
        <x:f>C10*D10*E10*F10*G10/10000</x:f>
        <x:v>123.19999999999997</x:v>
      </x:c>
      <x:c r="I10" s="34" t="n">
        <x:f>'收入构成'!G10</x:f>
        <x:v>100</x:v>
      </x:c>
      <x:c r="J10" s="33" t="n">
        <x:f>I10/H10</x:f>
        <x:v>0.8116883116883119</x:v>
      </x:c>
      <x:c r="K10" s="34" t="n">
        <x:f>I10*10000/(C10*E10*F10*G10)</x:f>
        <x:v>1.7857142857142858</x:v>
      </x:c>
      <x:c r="L10" s="27" t="str">
        <x:f>IF(J10&lt;=1,"合理","超出合理上限")</x:f>
        <x:v>合理</x:v>
      </x:c>
      <x:c r="M10" s="27" t="str">
        <x:v>场次与上座率约束</x:v>
      </x:c>
    </x:row>
    <x:row r="11">
      <x:c r="A11" s="27" t="str">
        <x:v>青年街区</x:v>
      </x:c>
      <x:c r="B11" s="27" t="str">
        <x:v>经营单元</x:v>
      </x:c>
      <x:c r="C11" s="32" t="n">
        <x:v>30</x:v>
      </x:c>
      <x:c r="D11" s="32" t="n">
        <x:v>1</x:v>
      </x:c>
      <x:c r="E11" s="32" t="n">
        <x:v>1</x:v>
      </x:c>
      <x:c r="F11" s="40" t="n">
        <x:v>0.9</x:v>
      </x:c>
      <x:c r="G11" s="32" t="n">
        <x:v>50000</x:v>
      </x:c>
      <x:c r="H11" s="34" t="n">
        <x:f>C11*D11*E11*F11*G11/10000</x:f>
        <x:v>135</x:v>
      </x:c>
      <x:c r="I11" s="34" t="n">
        <x:f>'收入构成'!G11</x:f>
        <x:v>120</x:v>
      </x:c>
      <x:c r="J11" s="33" t="n">
        <x:f>I11/H11</x:f>
        <x:v>0.8888888888888888</x:v>
      </x:c>
      <x:c r="K11" s="34" t="n">
        <x:f>I11*10000/(C11*E11*F11*G11)</x:f>
        <x:v>0.8888888888888888</x:v>
      </x:c>
      <x:c r="L11" s="27" t="str">
        <x:f>IF(J11&lt;=1,"合理","超出合理上限")</x:f>
        <x:v>合理</x:v>
      </x:c>
      <x:c r="M11" s="27" t="str">
        <x:v>客单为单元年均收入</x:v>
      </x:c>
    </x:row>
    <x:row r="12">
      <x:c r="A12" s="27" t="str">
        <x:v>茶馆</x:v>
      </x:c>
      <x:c r="B12" s="27" t="str">
        <x:v>座位</x:v>
      </x:c>
      <x:c r="C12" s="32" t="n">
        <x:v>160</x:v>
      </x:c>
      <x:c r="D12" s="32" t="n">
        <x:v>3.5</x:v>
      </x:c>
      <x:c r="E12" s="32" t="n">
        <x:v>330</x:v>
      </x:c>
      <x:c r="F12" s="40" t="n">
        <x:v>0.8</x:v>
      </x:c>
      <x:c r="G12" s="32" t="n">
        <x:v>160</x:v>
      </x:c>
      <x:c r="H12" s="34" t="n">
        <x:f>C12*D12*E12*F12*G12/10000</x:f>
        <x:v>2365.44</x:v>
      </x:c>
      <x:c r="I12" s="34" t="n">
        <x:f>'收入构成'!G12</x:f>
        <x:v>190</x:v>
      </x:c>
      <x:c r="J12" s="33" t="n">
        <x:f>I12/H12</x:f>
        <x:v>0.08032332251082251</x:v>
      </x:c>
      <x:c r="K12" s="34" t="n">
        <x:f>I12*10000/(C12*E12*F12*G12)</x:f>
        <x:v>0.2811316287878788</x:v>
      </x:c>
      <x:c r="L12" s="27" t="str">
        <x:f>IF(J12&lt;=1,"合理","超出合理上限")</x:f>
        <x:v>合理</x:v>
      </x:c>
      <x:c r="M12" s="27" t="str">
        <x:v>预约、包间与茶事活动综合</x:v>
      </x:c>
    </x:row>
    <x:row r="13">
      <x:c r="A13" s="27" t="str">
        <x:v>素食餐厅</x:v>
      </x:c>
      <x:c r="B13" s="27" t="str">
        <x:v>座位</x:v>
      </x:c>
      <x:c r="C13" s="32" t="n">
        <x:v>180</x:v>
      </x:c>
      <x:c r="D13" s="32" t="n">
        <x:v>4</x:v>
      </x:c>
      <x:c r="E13" s="32" t="n">
        <x:v>310</x:v>
      </x:c>
      <x:c r="F13" s="40" t="n">
        <x:v>0.85</x:v>
      </x:c>
      <x:c r="G13" s="32" t="n">
        <x:v>96</x:v>
      </x:c>
      <x:c r="H13" s="34" t="n">
        <x:f>C13*D13*E13*F13*G13/10000</x:f>
        <x:v>1821.312</x:v>
      </x:c>
      <x:c r="I13" s="34" t="n">
        <x:f>'收入构成'!G13</x:f>
        <x:v>150</x:v>
      </x:c>
      <x:c r="J13" s="33" t="n">
        <x:f>I13/H13</x:f>
        <x:v>0.08235821210204512</x:v>
      </x:c>
      <x:c r="K13" s="34" t="n">
        <x:f>I13*10000/(C13*E13*F13*G13)</x:f>
        <x:v>0.3294328484081805</x:v>
      </x:c>
      <x:c r="L13" s="27" t="str">
        <x:f>IF(J13&lt;=1,"合理","超出合理上限")</x:f>
        <x:v>合理</x:v>
      </x:c>
      <x:c r="M13" s="27" t="str">
        <x:v>4次/日为默认预警线</x:v>
      </x:c>
    </x:row>
    <x:row r="14">
      <x:c r="A14" s="27" t="str">
        <x:v>市集/在地好物</x:v>
      </x:c>
      <x:c r="B14" s="27" t="str">
        <x:v>摊位/店铺</x:v>
      </x:c>
      <x:c r="C14" s="32" t="n">
        <x:v>60</x:v>
      </x:c>
      <x:c r="D14" s="32" t="n">
        <x:v>1</x:v>
      </x:c>
      <x:c r="E14" s="32" t="n">
        <x:v>1</x:v>
      </x:c>
      <x:c r="F14" s="40" t="n">
        <x:v>0.9</x:v>
      </x:c>
      <x:c r="G14" s="32" t="n">
        <x:v>60000</x:v>
      </x:c>
      <x:c r="H14" s="34" t="n">
        <x:f>C14*D14*E14*F14*G14/10000</x:f>
        <x:v>324</x:v>
      </x:c>
      <x:c r="I14" s="34" t="n">
        <x:f>'收入构成'!G14</x:f>
        <x:v>300</x:v>
      </x:c>
      <x:c r="J14" s="33" t="n">
        <x:f>I14/H14</x:f>
        <x:v>0.9259259259259259</x:v>
      </x:c>
      <x:c r="K14" s="34" t="n">
        <x:f>I14*10000/(C14*E14*F14*G14)</x:f>
        <x:v>0.9259259259259259</x:v>
      </x:c>
      <x:c r="L14" s="27" t="str">
        <x:f>IF(J14&lt;=1,"合理","超出合理上限")</x:f>
        <x:v>合理</x:v>
      </x:c>
      <x:c r="M14" s="27" t="str">
        <x:v>客单为单元年均综合收入</x:v>
      </x:c>
    </x:row>
    <x:row r="15">
      <x:c r="A15" s="27" t="str">
        <x:v>森林婚礼/宴会</x:v>
      </x:c>
      <x:c r="B15" s="27" t="str">
        <x:v>场地</x:v>
      </x:c>
      <x:c r="C15" s="32" t="n">
        <x:v>1</x:v>
      </x:c>
      <x:c r="D15" s="32" t="n">
        <x:v>1</x:v>
      </x:c>
      <x:c r="E15" s="32" t="n">
        <x:v>90</x:v>
      </x:c>
      <x:c r="F15" s="40" t="n">
        <x:v>0.9</x:v>
      </x:c>
      <x:c r="G15" s="32" t="n">
        <x:v>22222</x:v>
      </x:c>
      <x:c r="H15" s="34" t="n">
        <x:f>C15*D15*E15*F15*G15/10000</x:f>
        <x:v>179.9982</x:v>
      </x:c>
      <x:c r="I15" s="34" t="n">
        <x:f>'收入构成'!G15</x:f>
        <x:v>160</x:v>
      </x:c>
      <x:c r="J15" s="33" t="n">
        <x:f>I15/H15</x:f>
        <x:v>0.8888977778666676</x:v>
      </x:c>
      <x:c r="K15" s="34" t="n">
        <x:f>I15*10000/(C15*E15*F15*G15)</x:f>
        <x:v>0.8888977778666676</x:v>
      </x:c>
      <x:c r="L15" s="27" t="str">
        <x:f>IF(J15&lt;=1,"合理","超出合理上限")</x:f>
        <x:v>合理</x:v>
      </x:c>
      <x:c r="M15" s="27" t="str">
        <x:v>按年可承接90个经营日</x:v>
      </x:c>
    </x:row>
    <x:row r="16">
      <x:c r="A16" s="27" t="str">
        <x:v>冰雪项目</x:v>
      </x:c>
      <x:c r="B16" s="27" t="str">
        <x:v>日接待人次</x:v>
      </x:c>
      <x:c r="C16" s="32" t="n">
        <x:v>500</x:v>
      </x:c>
      <x:c r="D16" s="32" t="n">
        <x:v>1</x:v>
      </x:c>
      <x:c r="E16" s="32" t="n">
        <x:v>100</x:v>
      </x:c>
      <x:c r="F16" s="40" t="n">
        <x:v>0.55</x:v>
      </x:c>
      <x:c r="G16" s="32" t="n">
        <x:v>35</x:v>
      </x:c>
      <x:c r="H16" s="34" t="n">
        <x:f>C16*D16*E16*F16*G16/10000</x:f>
        <x:v>96.25000000000001</x:v>
      </x:c>
      <x:c r="I16" s="34" t="n">
        <x:f>'收入构成'!G16</x:f>
        <x:v>70</x:v>
      </x:c>
      <x:c r="J16" s="33" t="n">
        <x:f>I16/H16</x:f>
        <x:v>0.7272727272727272</x:v>
      </x:c>
      <x:c r="K16" s="34" t="n">
        <x:f>I16*10000/(C16*E16*F16*G16)</x:f>
        <x:v>0.7272727272727272</x:v>
      </x:c>
      <x:c r="L16" s="27" t="str">
        <x:f>IF(J16&lt;=1,"合理","超出合理上限")</x:f>
        <x:v>合理</x:v>
      </x:c>
      <x:c r="M16" s="27" t="str">
        <x:v>受雪期和天气影响</x:v>
      </x:c>
    </x:row>
    <x:row r="17">
      <x:c r="A17" s="27" t="str">
        <x:v>森林剧场</x:v>
      </x:c>
      <x:c r="B17" s="27" t="str">
        <x:v>座位</x:v>
      </x:c>
      <x:c r="C17" s="32" t="n">
        <x:v>300</x:v>
      </x:c>
      <x:c r="D17" s="32" t="n">
        <x:v>2</x:v>
      </x:c>
      <x:c r="E17" s="32" t="n">
        <x:v>200</x:v>
      </x:c>
      <x:c r="F17" s="40" t="n">
        <x:v>0.7</x:v>
      </x:c>
      <x:c r="G17" s="32" t="n">
        <x:v>35</x:v>
      </x:c>
      <x:c r="H17" s="34" t="n">
        <x:f>C17*D17*E17*F17*G17/10000</x:f>
        <x:v>294</x:v>
      </x:c>
      <x:c r="I17" s="34" t="n">
        <x:f>'收入构成'!G17</x:f>
        <x:v>240</x:v>
      </x:c>
      <x:c r="J17" s="33" t="n">
        <x:f>I17/H17</x:f>
        <x:v>0.8163265306122449</x:v>
      </x:c>
      <x:c r="K17" s="34" t="n">
        <x:f>I17*10000/(C17*E17*F17*G17)</x:f>
        <x:v>1.6326530612244898</x:v>
      </x:c>
      <x:c r="L17" s="27" t="str">
        <x:f>IF(J17&lt;=1,"合理","超出合理上限")</x:f>
        <x:v>合理</x:v>
      </x:c>
      <x:c r="M17" s="27" t="str">
        <x:v>日间＋夜间演艺场次</x:v>
      </x:c>
    </x:row>
    <x:row r="18">
      <x:c r="A18" s="27" t="str">
        <x:v>禅修体验</x:v>
      </x:c>
      <x:c r="B18" s="27" t="str">
        <x:v>日接待人次</x:v>
      </x:c>
      <x:c r="C18" s="32" t="n">
        <x:v>80</x:v>
      </x:c>
      <x:c r="D18" s="32" t="n">
        <x:v>1</x:v>
      </x:c>
      <x:c r="E18" s="32" t="n">
        <x:v>180</x:v>
      </x:c>
      <x:c r="F18" s="40" t="n">
        <x:v>0.65</x:v>
      </x:c>
      <x:c r="G18" s="32" t="n">
        <x:v>50</x:v>
      </x:c>
      <x:c r="H18" s="34" t="n">
        <x:f>C18*D18*E18*F18*G18/10000</x:f>
        <x:v>46.8</x:v>
      </x:c>
      <x:c r="I18" s="34" t="n">
        <x:f>'收入构成'!G18</x:f>
        <x:v>35</x:v>
      </x:c>
      <x:c r="J18" s="33" t="n">
        <x:f>I18/H18</x:f>
        <x:v>0.7478632478632479</x:v>
      </x:c>
      <x:c r="K18" s="34" t="n">
        <x:f>I18*10000/(C18*E18*F18*G18)</x:f>
        <x:v>0.7478632478632479</x:v>
      </x:c>
      <x:c r="L18" s="27" t="str">
        <x:f>IF(J18&lt;=1,"合理","超出合理上限")</x:f>
        <x:v>合理</x:v>
      </x:c>
      <x:c r="M18" s="27" t="str">
        <x:v>小团预约制</x:v>
      </x:c>
    </x:row>
    <x:row r="19">
      <x:c r="A19" s="27" t="str">
        <x:v>咖啡及轻餐</x:v>
      </x:c>
      <x:c r="B19" s="27" t="str">
        <x:v>座位</x:v>
      </x:c>
      <x:c r="C19" s="32" t="n">
        <x:v>80</x:v>
      </x:c>
      <x:c r="D19" s="32" t="n">
        <x:v>4</x:v>
      </x:c>
      <x:c r="E19" s="32" t="n">
        <x:v>330</x:v>
      </x:c>
      <x:c r="F19" s="40" t="n">
        <x:v>0.8</x:v>
      </x:c>
      <x:c r="G19" s="32" t="n">
        <x:v>55</x:v>
      </x:c>
      <x:c r="H19" s="34" t="n">
        <x:f>C19*D19*E19*F19*G19/10000</x:f>
        <x:v>464.64</x:v>
      </x:c>
      <x:c r="I19" s="34" t="n">
        <x:f>'收入构成'!G19</x:f>
        <x:v>100</x:v>
      </x:c>
      <x:c r="J19" s="33" t="n">
        <x:f>I19/H19</x:f>
        <x:v>0.21522038567493113</x:v>
      </x:c>
      <x:c r="K19" s="34" t="n">
        <x:f>I19*10000/(C19*E19*F19*G19)</x:f>
        <x:v>0.8608815426997245</x:v>
      </x:c>
      <x:c r="L19" s="27" t="str">
        <x:f>IF(J19&lt;=1,"合理","超出合理上限")</x:f>
        <x:v>合理</x:v>
      </x:c>
      <x:c r="M19" s="27" t="str">
        <x:v>4次/日为默认预警线</x:v>
      </x:c>
    </x:row>
    <x:row r="20">
      <x:c r="A20" s="27" t="str">
        <x:v>祈福产品</x:v>
      </x:c>
      <x:c r="B20" s="27" t="str">
        <x:v>全园游客</x:v>
      </x:c>
      <x:c r="C20" s="32" t="n">
        <x:v>800000</x:v>
      </x:c>
      <x:c r="D20" s="32" t="n">
        <x:v>1</x:v>
      </x:c>
      <x:c r="E20" s="32" t="n">
        <x:v>1</x:v>
      </x:c>
      <x:c r="F20" s="40" t="n">
        <x:v>0.06</x:v>
      </x:c>
      <x:c r="G20" s="32" t="n">
        <x:v>7.5</x:v>
      </x:c>
      <x:c r="H20" s="34" t="n">
        <x:f>C20*D20*E20*F20*G20/10000</x:f>
        <x:v>36</x:v>
      </x:c>
      <x:c r="I20" s="34" t="n">
        <x:f>'收入构成'!G20</x:f>
        <x:v>30</x:v>
      </x:c>
      <x:c r="J20" s="33" t="n">
        <x:f>I20/H20</x:f>
        <x:v>0.8333333333333334</x:v>
      </x:c>
      <x:c r="K20" s="34" t="n">
        <x:f>I20*10000/(C20*E20*F20*G20)</x:f>
        <x:v>0.8333333333333334</x:v>
      </x:c>
      <x:c r="L20" s="27" t="str">
        <x:f>IF(J20&lt;=1,"合理","超出合理上限")</x:f>
        <x:v>合理</x:v>
      </x:c>
      <x:c r="M20" s="27" t="str">
        <x:v>目标约5%转化</x:v>
      </x:c>
    </x:row>
    <x:row r="21">
      <x:c r="A21" s="27" t="str">
        <x:v>树屋/场地综合</x:v>
      </x:c>
      <x:c r="B21" s="27" t="str">
        <x:v>房间/单元</x:v>
      </x:c>
      <x:c r="C21" s="32" t="n">
        <x:v>12</x:v>
      </x:c>
      <x:c r="D21" s="32" t="n">
        <x:v>1</x:v>
      </x:c>
      <x:c r="E21" s="32" t="n">
        <x:v>250</x:v>
      </x:c>
      <x:c r="F21" s="40" t="n">
        <x:v>0.6</x:v>
      </x:c>
      <x:c r="G21" s="32" t="n">
        <x:v>750</x:v>
      </x:c>
      <x:c r="H21" s="34" t="n">
        <x:f>C21*D21*E21*F21*G21/10000</x:f>
        <x:v>135</x:v>
      </x:c>
      <x:c r="I21" s="34" t="n">
        <x:f>'收入构成'!G21</x:f>
        <x:v>120</x:v>
      </x:c>
      <x:c r="J21" s="33" t="n">
        <x:f>I21/H21</x:f>
        <x:v>0.8888888888888888</x:v>
      </x:c>
      <x:c r="K21" s="34" t="n">
        <x:f>I21*10000/(C21*E21*F21*G21)</x:f>
        <x:v>0.8888888888888888</x:v>
      </x:c>
      <x:c r="L21" s="27" t="str">
        <x:f>IF(J21&lt;=1,"合理","超出合理上限")</x:f>
        <x:v>合理</x:v>
      </x:c>
      <x:c r="M21" s="27" t="str">
        <x:v>不增加房量，仅优化房价入住率</x:v>
      </x:c>
    </x:row>
    <x:row r="22">
      <x:c r="A22" s="27" t="str">
        <x:v>洞藏酒/酒窖体验</x:v>
      </x:c>
      <x:c r="B22" s="27" t="str">
        <x:v>日接待人次</x:v>
      </x:c>
      <x:c r="C22" s="32" t="n">
        <x:v>220</x:v>
      </x:c>
      <x:c r="D22" s="32" t="n">
        <x:v>1</x:v>
      </x:c>
      <x:c r="E22" s="32" t="n">
        <x:v>220</x:v>
      </x:c>
      <x:c r="F22" s="40" t="n">
        <x:v>0.4</x:v>
      </x:c>
      <x:c r="G22" s="32" t="n">
        <x:v>45</x:v>
      </x:c>
      <x:c r="H22" s="34" t="n">
        <x:f>C22*D22*E22*F22*G22/10000</x:f>
        <x:v>87.12</x:v>
      </x:c>
      <x:c r="I22" s="34" t="n">
        <x:f>'收入构成'!G22</x:f>
        <x:v>70</x:v>
      </x:c>
      <x:c r="J22" s="33" t="n">
        <x:f>I22/H22</x:f>
        <x:v>0.8034894398530762</x:v>
      </x:c>
      <x:c r="K22" s="34" t="n">
        <x:f>I22*10000/(C22*E22*F22*G22)</x:f>
        <x:v>0.8034894398530762</x:v>
      </x:c>
      <x:c r="L22" s="27" t="str">
        <x:f>IF(J22&lt;=1,"合理","超出合理上限")</x:f>
        <x:v>合理</x:v>
      </x:c>
      <x:c r="M22" s="27" t="str">
        <x:v>品鉴与礼盒复购</x:v>
      </x:c>
    </x:row>
    <x:row r="23">
      <x:c r="A23" s="27" t="str">
        <x:v>园内交通</x:v>
      </x:c>
      <x:c r="B23" s="27" t="str">
        <x:v>日服务人次</x:v>
      </x:c>
      <x:c r="C23" s="32" t="n">
        <x:v>1200</x:v>
      </x:c>
      <x:c r="D23" s="32" t="n">
        <x:v>1</x:v>
      </x:c>
      <x:c r="E23" s="32" t="n">
        <x:v>250</x:v>
      </x:c>
      <x:c r="F23" s="40" t="n">
        <x:v>0.65</x:v>
      </x:c>
      <x:c r="G23" s="32" t="n">
        <x:v>10</x:v>
      </x:c>
      <x:c r="H23" s="34" t="n">
        <x:f>C23*D23*E23*F23*G23/10000</x:f>
        <x:v>195</x:v>
      </x:c>
      <x:c r="I23" s="34" t="n">
        <x:f>'收入构成'!G23</x:f>
        <x:v>170</x:v>
      </x:c>
      <x:c r="J23" s="33" t="n">
        <x:f>I23/H23</x:f>
        <x:v>0.8717948717948718</x:v>
      </x:c>
      <x:c r="K23" s="34" t="n">
        <x:f>I23*10000/(C23*E23*F23*G23)</x:f>
        <x:v>0.8717948717948718</x:v>
      </x:c>
      <x:c r="L23" s="27" t="str">
        <x:f>IF(J23&lt;=1,"合理","超出合理上限")</x:f>
        <x:v>合理</x:v>
      </x:c>
      <x:c r="M23" s="27" t="str">
        <x:v>不增加车辆数量</x:v>
      </x:c>
    </x:row>
    <x:row r="24">
      <x:c r="A24" s="27" t="str">
        <x:v>研学课程（公共部分）</x:v>
      </x:c>
      <x:c r="B24" s="27" t="str">
        <x:v>单团容量</x:v>
      </x:c>
      <x:c r="C24" s="32" t="n">
        <x:v>120</x:v>
      </x:c>
      <x:c r="D24" s="32" t="n">
        <x:v>1.5</x:v>
      </x:c>
      <x:c r="E24" s="32" t="n">
        <x:v>180</x:v>
      </x:c>
      <x:c r="F24" s="40" t="n">
        <x:v>0.85</x:v>
      </x:c>
      <x:c r="G24" s="32" t="n">
        <x:v>60</x:v>
      </x:c>
      <x:c r="H24" s="34" t="n">
        <x:f>C24*D24*E24*F24*G24/10000</x:f>
        <x:v>165.24</x:v>
      </x:c>
      <x:c r="I24" s="34" t="n">
        <x:f>'收入构成'!G24</x:f>
        <x:v>130</x:v>
      </x:c>
      <x:c r="J24" s="33" t="n">
        <x:f>I24/H24</x:f>
        <x:v>0.7867344468651658</x:v>
      </x:c>
      <x:c r="K24" s="34" t="n">
        <x:f>I24*10000/(C24*E24*F24*G24)</x:f>
        <x:v>1.1801016702977487</x:v>
      </x:c>
      <x:c r="L24" s="27" t="str">
        <x:f>IF(J24&lt;=1,"合理","超出合理上限")</x:f>
        <x:v>合理</x:v>
      </x:c>
      <x:c r="M24" s="27" t="str">
        <x:v>校企合作及淡季团队</x:v>
      </x:c>
    </x:row>
    <x:row r="25">
      <x:c r="A25" s="27" t="str">
        <x:v>夜游/主题活动</x:v>
      </x:c>
      <x:c r="B25" s="27" t="str">
        <x:v>单场容量</x:v>
      </x:c>
      <x:c r="C25" s="32" t="n">
        <x:v>400</x:v>
      </x:c>
      <x:c r="D25" s="32" t="n">
        <x:v>2</x:v>
      </x:c>
      <x:c r="E25" s="32" t="n">
        <x:v>180</x:v>
      </x:c>
      <x:c r="F25" s="40" t="n">
        <x:v>0.75</x:v>
      </x:c>
      <x:c r="G25" s="32" t="n">
        <x:v>30</x:v>
      </x:c>
      <x:c r="H25" s="34" t="n">
        <x:f>C25*D25*E25*F25*G25/10000</x:f>
        <x:v>324</x:v>
      </x:c>
      <x:c r="I25" s="34" t="n">
        <x:f>'收入构成'!G25</x:f>
        <x:v>200</x:v>
      </x:c>
      <x:c r="J25" s="33" t="n">
        <x:f>I25/H25</x:f>
        <x:v>0.6172839506172839</x:v>
      </x:c>
      <x:c r="K25" s="34" t="n">
        <x:f>I25*10000/(C25*E25*F25*G25)</x:f>
        <x:v>1.2345679012345678</x:v>
      </x:c>
      <x:c r="L25" s="27" t="str">
        <x:f>IF(J25&lt;=1,"合理","超出合理上限")</x:f>
        <x:v>合理</x:v>
      </x:c>
      <x:c r="M25" s="27" t="str">
        <x:v>利用既有场地分时运营</x:v>
      </x:c>
    </x:row>
    <x:row r="26">
      <x:c r="A26" s="27" t="str">
        <x:v>旅拍</x:v>
      </x:c>
      <x:c r="B26" s="27" t="str">
        <x:v>摄影团队</x:v>
      </x:c>
      <x:c r="C26" s="32" t="n">
        <x:v>6</x:v>
      </x:c>
      <x:c r="D26" s="32" t="n">
        <x:v>3</x:v>
      </x:c>
      <x:c r="E26" s="32" t="n">
        <x:v>220</x:v>
      </x:c>
      <x:c r="F26" s="40" t="n">
        <x:v>0.75</x:v>
      </x:c>
      <x:c r="G26" s="32" t="n">
        <x:v>360</x:v>
      </x:c>
      <x:c r="H26" s="34" t="n">
        <x:f>C26*D26*E26*F26*G26/10000</x:f>
        <x:v>106.92</x:v>
      </x:c>
      <x:c r="I26" s="34" t="n">
        <x:f>'收入构成'!G26</x:f>
        <x:v>100</x:v>
      </x:c>
      <x:c r="J26" s="33" t="n">
        <x:f>I26/H26</x:f>
        <x:v>0.9352787130564908</x:v>
      </x:c>
      <x:c r="K26" s="34" t="n">
        <x:f>I26*10000/(C26*E26*F26*G26)</x:f>
        <x:v>2.8058361391694726</x:v>
      </x:c>
      <x:c r="L26" s="27" t="str">
        <x:f>IF(J26&lt;=1,"合理","超出合理上限")</x:f>
        <x:v>合理</x:v>
      </x:c>
      <x:c r="M26" s="27" t="str">
        <x:v>每团队每日3单合理上限</x:v>
      </x:c>
    </x:row>
    <x:row r="27">
      <x:c r="A27" s="27" t="str">
        <x:v>轻康养/森林课程</x:v>
      </x:c>
      <x:c r="B27" s="27" t="str">
        <x:v>日接待人次</x:v>
      </x:c>
      <x:c r="C27" s="32" t="n">
        <x:v>50</x:v>
      </x:c>
      <x:c r="D27" s="32" t="n">
        <x:v>1</x:v>
      </x:c>
      <x:c r="E27" s="32" t="n">
        <x:v>220</x:v>
      </x:c>
      <x:c r="F27" s="40" t="n">
        <x:v>0.6</x:v>
      </x:c>
      <x:c r="G27" s="32" t="n">
        <x:v>50</x:v>
      </x:c>
      <x:c r="H27" s="34" t="n">
        <x:f>C27*D27*E27*F27*G27/10000</x:f>
        <x:v>33</x:v>
      </x:c>
      <x:c r="I27" s="34" t="n">
        <x:f>'收入构成'!G27</x:f>
        <x:v>27.248</x:v>
      </x:c>
      <x:c r="J27" s="33" t="n">
        <x:f>I27/H27</x:f>
        <x:v>0.8256969696969697</x:v>
      </x:c>
      <x:c r="K27" s="34" t="n">
        <x:f>I27*10000/(C27*E27*F27*G27)</x:f>
        <x:v>0.8256969696969697</x:v>
      </x:c>
      <x:c r="L27" s="27" t="str">
        <x:f>IF(J27&lt;=1,"合理","超出合理上限")</x:f>
        <x:v>合理</x:v>
      </x:c>
      <x:c r="M27" s="27" t="str">
        <x:v>课程制，不新增建筑</x:v>
      </x:c>
    </x:row>
  </x:sheetData>
  <x:mergeCells>
    <x:mergeCell ref="A1:M2"/>
  </x:mergeCells>
  <x:conditionalFormatting sqref="L5:L27">
    <x:cfRule type="containsText" dxfId="0" priority="1" operator="containsText" text="合理"/>
    <x:cfRule type="containsText" dxfId="1" priority="2" operator="containsText" text="超出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42" hidden="0" customWidth="1"/>
    <x:col min="10" max="10" width="34" hidden="0" customWidth="1"/>
  </x:cols>
  <x:sheetData>
    <x:row r="1" ht="34" customHeight="1">
      <x:c r="A1" s="4" t="str">
        <x:v>不新增硬件建设条件下的增收措施</x:v>
      </x:c>
      <x:c r="B1" s="4" t="str">
        <x:v>不新增硬件建设条件下的增收措施</x:v>
      </x:c>
      <x:c r="C1" s="4" t="str">
        <x:v>不新增硬件建设条件下的增收措施</x:v>
      </x:c>
      <x:c r="D1" s="4" t="str">
        <x:v>不新增硬件建设条件下的增收措施</x:v>
      </x:c>
      <x:c r="E1" s="4" t="str">
        <x:v>不新增硬件建设条件下的增收措施</x:v>
      </x:c>
      <x:c r="F1" s="4" t="str">
        <x:v>不新增硬件建设条件下的增收措施</x:v>
      </x:c>
      <x:c r="G1" s="4" t="str">
        <x:v>不新增硬件建设条件下的增收措施</x:v>
      </x:c>
      <x:c r="H1" s="4" t="str">
        <x:v>不新增硬件建设条件下的增收措施</x:v>
      </x:c>
      <x:c r="I1" s="4" t="str">
        <x:v>不新增硬件建设条件下的增收措施</x:v>
      </x:c>
      <x:c r="J1" s="4" t="str">
        <x:v>不新增硬件建设条件下的增收措施</x:v>
      </x:c>
    </x:row>
    <x:row r="2" ht="34" customHeight="1">
      <x:c r="A2" s="4" t="str">
        <x:v>不新增硬件建设条件下的增收措施</x:v>
      </x:c>
      <x:c r="B2" s="4" t="str">
        <x:v>不新增硬件建设条件下的增收措施</x:v>
      </x:c>
      <x:c r="C2" s="4" t="str">
        <x:v>不新增硬件建设条件下的增收措施</x:v>
      </x:c>
      <x:c r="D2" s="4" t="str">
        <x:v>不新增硬件建设条件下的增收措施</x:v>
      </x:c>
      <x:c r="E2" s="4" t="str">
        <x:v>不新增硬件建设条件下的增收措施</x:v>
      </x:c>
      <x:c r="F2" s="4" t="str">
        <x:v>不新增硬件建设条件下的增收措施</x:v>
      </x:c>
      <x:c r="G2" s="4" t="str">
        <x:v>不新增硬件建设条件下的增收措施</x:v>
      </x:c>
      <x:c r="H2" s="4" t="str">
        <x:v>不新增硬件建设条件下的增收措施</x:v>
      </x:c>
      <x:c r="I2" s="4" t="str">
        <x:v>不新增硬件建设条件下的增收措施</x:v>
      </x:c>
      <x:c r="J2" s="4" t="str">
        <x:v>不新增硬件建设条件下的增收措施</x:v>
      </x:c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10" t="str">
        <x:v>措施</x:v>
      </x:c>
      <x:c r="B4" s="10" t="str">
        <x:v>主要承接项目</x:v>
      </x:c>
      <x:c r="C4" s="10" t="str">
        <x:v>新增硬件</x:v>
      </x:c>
      <x:c r="D4" s="10" t="str">
        <x:v>第1年嵌入收入</x:v>
      </x:c>
      <x:c r="E4" s="10" t="str">
        <x:v>第2年嵌入收入</x:v>
      </x:c>
      <x:c r="F4" s="10" t="str">
        <x:v>第3年/稳定期嵌入收入</x:v>
      </x:c>
      <x:c r="G4" s="10" t="str">
        <x:v>增量直接成本率</x:v>
      </x:c>
      <x:c r="H4" s="10" t="str">
        <x:v>稳定期增量贡献</x:v>
      </x:c>
      <x:c r="I4" s="10" t="str">
        <x:v>实施重点</x:v>
      </x:c>
      <x:c r="J4" s="10" t="str">
        <x:v>防重复说明</x:v>
      </x:c>
    </x:row>
    <x:row r="5">
      <x:c r="A5" s="27" t="str">
        <x:v>动态定价与预约库存管理</x:v>
      </x:c>
      <x:c r="B5" s="27" t="str">
        <x:v>马戏/剧场/餐饮</x:v>
      </x:c>
      <x:c r="C5" s="27" t="str">
        <x:v>否</x:v>
      </x:c>
      <x:c r="D5" s="32" t="n">
        <x:v>20</x:v>
      </x:c>
      <x:c r="E5" s="32" t="n">
        <x:v>50</x:v>
      </x:c>
      <x:c r="F5" s="32" t="n">
        <x:v>80</x:v>
      </x:c>
      <x:c r="G5" s="40" t="n">
        <x:v>0.1</x:v>
      </x:c>
      <x:c r="H5" s="34" t="n">
        <x:f>F5*(1-G5)</x:f>
        <x:v>72</x:v>
      </x:c>
      <x:c r="I5" s="27" t="str">
        <x:v>节假日、周末、平日三档价格；控制放票节奏</x:v>
      </x:c>
      <x:c r="J5" s="27" t="str">
        <x:v>以上收入已嵌入各项目目标，不得再次加总</x:v>
      </x:c>
    </x:row>
    <x:row r="6">
      <x:c r="A6" s="27" t="str">
        <x:v>会员年卡与家庭次卡</x:v>
      </x:c>
      <x:c r="B6" s="27" t="str">
        <x:v>宝贝王/萌宠/交通</x:v>
      </x:c>
      <x:c r="C6" s="27" t="str">
        <x:v>否</x:v>
      </x:c>
      <x:c r="D6" s="32" t="n">
        <x:v>20</x:v>
      </x:c>
      <x:c r="E6" s="32" t="n">
        <x:v>60</x:v>
      </x:c>
      <x:c r="F6" s="32" t="n">
        <x:v>120</x:v>
      </x:c>
      <x:c r="G6" s="40" t="n">
        <x:v>0.15</x:v>
      </x:c>
      <x:c r="H6" s="34" t="n">
        <x:f>F6*(1-G6)</x:f>
        <x:v>102</x:v>
      </x:c>
      <x:c r="I6" s="27" t="str">
        <x:v>家庭年卡、祖孙卡、生日权益和复购提醒</x:v>
      </x:c>
      <x:c r="J6" s="27" t="str">
        <x:v>以上收入已嵌入各项目目标，不得再次加总</x:v>
      </x:c>
    </x:row>
    <x:row r="7">
      <x:c r="A7" s="27" t="str">
        <x:v>全园组合票与二次消费券包</x:v>
      </x:c>
      <x:c r="B7" s="27" t="str">
        <x:v>多项目联票</x:v>
      </x:c>
      <x:c r="C7" s="27" t="str">
        <x:v>否</x:v>
      </x:c>
      <x:c r="D7" s="32" t="n">
        <x:v>15</x:v>
      </x:c>
      <x:c r="E7" s="32" t="n">
        <x:v>50</x:v>
      </x:c>
      <x:c r="F7" s="32" t="n">
        <x:v>100</x:v>
      </x:c>
      <x:c r="G7" s="40" t="n">
        <x:v>0.2</x:v>
      </x:c>
      <x:c r="H7" s="34" t="n">
        <x:f>F7*(1-G7)</x:f>
        <x:v>80</x:v>
      </x:c>
      <x:c r="I7" s="27" t="str">
        <x:v>入口统一售卖，设置阶梯式加购</x:v>
      </x:c>
      <x:c r="J7" s="27" t="str">
        <x:v>以上收入已嵌入各项目目标，不得再次加总</x:v>
      </x:c>
    </x:row>
    <x:row r="8">
      <x:c r="A8" s="27" t="str">
        <x:v>旅拍产品标准化</x:v>
      </x:c>
      <x:c r="B8" s="27" t="str">
        <x:v>旅拍/婚礼/夜游</x:v>
      </x:c>
      <x:c r="C8" s="27" t="str">
        <x:v>否</x:v>
      </x:c>
      <x:c r="D8" s="32" t="n">
        <x:v>0</x:v>
      </x:c>
      <x:c r="E8" s="32" t="n">
        <x:v>45</x:v>
      </x:c>
      <x:c r="F8" s="32" t="n">
        <x:v>100</x:v>
      </x:c>
      <x:c r="G8" s="40" t="n">
        <x:v>0.3</x:v>
      </x:c>
      <x:c r="H8" s="34" t="n">
        <x:f>F8*(1-G8)</x:f>
        <x:v>70</x:v>
      </x:c>
      <x:c r="I8" s="27" t="str">
        <x:v>基础、主题、婚礼三档套餐；摄影团队按单分佣</x:v>
      </x:c>
      <x:c r="J8" s="27" t="str">
        <x:v>以上收入已嵌入各项目目标，不得再次加总</x:v>
      </x:c>
    </x:row>
    <x:row r="9">
      <x:c r="A9" s="27" t="str">
        <x:v>研学课程与企业团建预售</x:v>
      </x:c>
      <x:c r="B9" s="27" t="str">
        <x:v>研学/宝贝王/剧场</x:v>
      </x:c>
      <x:c r="C9" s="27" t="str">
        <x:v>否</x:v>
      </x:c>
      <x:c r="D9" s="32" t="n">
        <x:v>0</x:v>
      </x:c>
      <x:c r="E9" s="32" t="n">
        <x:v>80</x:v>
      </x:c>
      <x:c r="F9" s="32" t="n">
        <x:v>130</x:v>
      </x:c>
      <x:c r="G9" s="40" t="n">
        <x:v>0.2</x:v>
      </x:c>
      <x:c r="H9" s="34" t="n">
        <x:f>F9*(1-G9)</x:f>
        <x:v>104</x:v>
      </x:c>
      <x:c r="I9" s="27" t="str">
        <x:v>校企年度框架、淡季班次和团体预付款</x:v>
      </x:c>
      <x:c r="J9" s="27" t="str">
        <x:v>以上收入已嵌入各项目目标，不得再次加总</x:v>
      </x:c>
    </x:row>
    <x:row r="10">
      <x:c r="A10" s="27" t="str">
        <x:v>夜游及主题节庆运营</x:v>
      </x:c>
      <x:c r="B10" s="27" t="str">
        <x:v>夜游/剧场/市集</x:v>
      </x:c>
      <x:c r="C10" s="27" t="str">
        <x:v>否</x:v>
      </x:c>
      <x:c r="D10" s="32" t="n">
        <x:v>0</x:v>
      </x:c>
      <x:c r="E10" s="32" t="n">
        <x:v>100</x:v>
      </x:c>
      <x:c r="F10" s="32" t="n">
        <x:v>200</x:v>
      </x:c>
      <x:c r="G10" s="40" t="n">
        <x:v>0.25</x:v>
      </x:c>
      <x:c r="H10" s="34" t="n">
        <x:f>F10*(1-G10)</x:f>
        <x:v>150</x:v>
      </x:c>
      <x:c r="I10" s="27" t="str">
        <x:v>利用既有硬化场地，分时复用内容和人员</x:v>
      </x:c>
      <x:c r="J10" s="27" t="str">
        <x:v>以上收入已嵌入各项目目标，不得再次加总</x:v>
      </x:c>
    </x:row>
    <x:row r="11">
      <x:c r="A11" s="27" t="str">
        <x:v>餐饮菜单工程与预约翻台</x:v>
      </x:c>
      <x:c r="B11" s="27" t="str">
        <x:v>茶馆/餐厅/咖啡</x:v>
      </x:c>
      <x:c r="C11" s="27" t="str">
        <x:v>否</x:v>
      </x:c>
      <x:c r="D11" s="32" t="n">
        <x:v>10</x:v>
      </x:c>
      <x:c r="E11" s="32" t="n">
        <x:v>40</x:v>
      </x:c>
      <x:c r="F11" s="32" t="n">
        <x:v>70</x:v>
      </x:c>
      <x:c r="G11" s="40" t="n">
        <x:v>0.25</x:v>
      </x:c>
      <x:c r="H11" s="34" t="n">
        <x:f>F11*(1-G11)</x:f>
        <x:v>52.5</x:v>
      </x:c>
      <x:c r="I11" s="27" t="str">
        <x:v>高毛利套餐、错峰预约；餐厅翻台受容量表约束</x:v>
      </x:c>
      <x:c r="J11" s="27" t="str">
        <x:v>以上收入已嵌入各项目目标，不得再次加总</x:v>
      </x:c>
    </x:row>
    <x:row r="12">
      <x:c r="A12" s="27" t="str">
        <x:v>婚礼、发布会和企业包场</x:v>
      </x:c>
      <x:c r="B12" s="27" t="str">
        <x:v>婚礼/剧场/茶馆</x:v>
      </x:c>
      <x:c r="C12" s="27" t="str">
        <x:v>否</x:v>
      </x:c>
      <x:c r="D12" s="32" t="n">
        <x:v>5</x:v>
      </x:c>
      <x:c r="E12" s="32" t="n">
        <x:v>30</x:v>
      </x:c>
      <x:c r="F12" s="32" t="n">
        <x:v>60</x:v>
      </x:c>
      <x:c r="G12" s="40" t="n">
        <x:v>0.3</x:v>
      </x:c>
      <x:c r="H12" s="34" t="n">
        <x:f>F12*(1-G12)</x:f>
        <x:v>42</x:v>
      </x:c>
      <x:c r="I12" s="27" t="str">
        <x:v>标准化场地包、餐饮包和执行服务包</x:v>
      </x:c>
      <x:c r="J12" s="27" t="str">
        <x:v>以上收入已嵌入各项目目标，不得再次加总</x:v>
      </x:c>
    </x:row>
    <x:row r="13">
      <x:c r="A13" s="27" t="str">
        <x:v>在地好物线上预售与到店核销</x:v>
      </x:c>
      <x:c r="B13" s="27" t="str">
        <x:v>文创/市集/酒窖</x:v>
      </x:c>
      <x:c r="C13" s="27" t="str">
        <x:v>否</x:v>
      </x:c>
      <x:c r="D13" s="32" t="n">
        <x:v>10</x:v>
      </x:c>
      <x:c r="E13" s="32" t="n">
        <x:v>35</x:v>
      </x:c>
      <x:c r="F13" s="32" t="n">
        <x:v>70</x:v>
      </x:c>
      <x:c r="G13" s="40" t="n">
        <x:v>0.35</x:v>
      </x:c>
      <x:c r="H13" s="34" t="n">
        <x:f>F13*(1-G13)</x:f>
        <x:v>45.5</x:v>
      </x:c>
      <x:c r="I13" s="27" t="str">
        <x:v>小程序预售、直播团购和节庆礼盒</x:v>
      </x:c>
      <x:c r="J13" s="27" t="str">
        <x:v>以上收入已嵌入各项目目标，不得再次加总</x:v>
      </x:c>
    </x:row>
    <x:row r="14">
      <x:c r="A14" s="27" t="str">
        <x:v>万峰雪场、酒店及交通联票</x:v>
      </x:c>
      <x:c r="B14" s="27" t="str">
        <x:v>冰雪/交通/餐饮</x:v>
      </x:c>
      <x:c r="C14" s="27" t="str">
        <x:v>否</x:v>
      </x:c>
      <x:c r="D14" s="32" t="n">
        <x:v>0</x:v>
      </x:c>
      <x:c r="E14" s="32" t="n">
        <x:v>40</x:v>
      </x:c>
      <x:c r="F14" s="32" t="n">
        <x:v>100</x:v>
      </x:c>
      <x:c r="G14" s="40" t="n">
        <x:v>0.18</x:v>
      </x:c>
      <x:c r="H14" s="34" t="n">
        <x:f>F14*(1-G14)</x:f>
        <x:v>82</x:v>
      </x:c>
      <x:c r="I14" s="27" t="str">
        <x:v>冬季互导客流，按核销结算避免重复记收</x:v>
      </x:c>
      <x:c r="J14" s="27" t="str">
        <x:v>以上收入已嵌入各项目目标，不得再次加总</x:v>
      </x:c>
    </x:row>
    <x:row r="15">
      <x:c r="A15" s="35" t="str">
        <x:v>嵌入收入合计（仅解释增长来源）</x:v>
      </x:c>
      <x:c r="B15" s="35"/>
      <x:c r="C15" s="35"/>
      <x:c r="D15" s="36" t="n">
        <x:f>SUM(D5:D14)</x:f>
        <x:v>80</x:v>
      </x:c>
      <x:c r="E15" s="36" t="n">
        <x:f>SUM(E5:E14)</x:f>
        <x:v>530</x:v>
      </x:c>
      <x:c r="F15" s="36" t="n">
        <x:f>SUM(F5:F14)</x:f>
        <x:v>1030</x:v>
      </x:c>
      <x:c r="G15" s="35"/>
      <x:c r="H15" s="36" t="n">
        <x:f>SUM(H5:H14)</x:f>
        <x:v>800</x:v>
      </x:c>
      <x:c r="I15" s="35"/>
      <x:c r="J15" s="35"/>
    </x:row>
  </x:sheetData>
  <x:mergeCells>
    <x:mergeCell ref="A1:J2"/>
    <x:mergeCell ref="A15:C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9595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4" hidden="0" customWidth="1"/>
    <x:col min="4" max="4" width="26" hidden="0" customWidth="1"/>
    <x:col min="5" max="5" width="28" hidden="0" customWidth="1"/>
    <x:col min="6" max="6" width="40" hidden="0" customWidth="1"/>
  </x:cols>
  <x:sheetData>
    <x:row r="1" ht="34" customHeight="1">
      <x:c r="A1" s="4" t="str">
        <x:v>模型口径、使用方法与限制</x:v>
      </x:c>
      <x:c r="B1" s="4" t="str">
        <x:v>模型口径、使用方法与限制</x:v>
      </x:c>
      <x:c r="C1" s="4" t="str">
        <x:v>模型口径、使用方法与限制</x:v>
      </x:c>
      <x:c r="D1" s="4" t="str">
        <x:v>模型口径、使用方法与限制</x:v>
      </x:c>
      <x:c r="E1" s="4" t="str">
        <x:v>模型口径、使用方法与限制</x:v>
      </x:c>
      <x:c r="F1" s="4" t="str">
        <x:v>模型口径、使用方法与限制</x:v>
      </x:c>
    </x:row>
    <x:row r="2" ht="34" customHeight="1">
      <x:c r="A2" s="4" t="str">
        <x:v>模型口径、使用方法与限制</x:v>
      </x:c>
      <x:c r="B2" s="4" t="str">
        <x:v>模型口径、使用方法与限制</x:v>
      </x:c>
      <x:c r="C2" s="4" t="str">
        <x:v>模型口径、使用方法与限制</x:v>
      </x:c>
      <x:c r="D2" s="4" t="str">
        <x:v>模型口径、使用方法与限制</x:v>
      </x:c>
      <x:c r="E2" s="4" t="str">
        <x:v>模型口径、使用方法与限制</x:v>
      </x:c>
      <x:c r="F2" s="4" t="str">
        <x:v>模型口径、使用方法与限制</x:v>
      </x:c>
    </x:row>
    <x:row r="3">
      <x:c r="A3" s="21"/>
      <x:c r="B3" s="21"/>
      <x:c r="C3" s="21"/>
      <x:c r="D3" s="21"/>
      <x:c r="E3" s="21"/>
      <x:c r="F3" s="21"/>
    </x:row>
    <x:row r="4">
      <x:c r="A4" s="10" t="str">
        <x:v>序号</x:v>
      </x:c>
      <x:c r="B4" s="10" t="str">
        <x:v>主题</x:v>
      </x:c>
      <x:c r="C4" s="10" t="str">
        <x:v>采用口径</x:v>
      </x:c>
      <x:c r="D4" s="10" t="str">
        <x:v>可调整位置</x:v>
      </x:c>
      <x:c r="E4" s="10" t="str">
        <x:v>影响</x:v>
      </x:c>
      <x:c r="F4" s="10" t="str">
        <x:v>说明</x:v>
      </x:c>
    </x:row>
    <x:row r="5">
      <x:c r="A5" s="27" t="n">
        <x:v>1</x:v>
      </x:c>
      <x:c r="B5" s="27" t="str">
        <x:v>收入基准</x:v>
      </x:c>
      <x:c r="C5" s="27" t="str">
        <x:v>第1年2,972.485万元取自原表6 F列项目经营收入结果</x:v>
      </x:c>
      <x:c r="D5" s="27" t="str">
        <x:v>收入构成D列</x:v>
      </x:c>
      <x:c r="E5" s="27" t="str">
        <x:v>改变第1年基线</x:v>
      </x:c>
      <x:c r="F5" s="27" t="str">
        <x:v>不再对该收入二次处理分成</x:v>
      </x:c>
    </x:row>
    <x:row r="6">
      <x:c r="A6" s="27" t="n">
        <x:v>2</x:v>
      </x:c>
      <x:c r="B6" s="27" t="str">
        <x:v>增长路径</x:v>
      </x:c>
      <x:c r="C6" s="27" t="str">
        <x:v>第2年4,000万元，第3年5,000万元并进入稳定期</x:v>
      </x:c>
      <x:c r="D6" s="27" t="str">
        <x:v>参数设置B8:E8</x:v>
      </x:c>
      <x:c r="E6" s="27" t="str">
        <x:v>改变年度总目标</x:v>
      </x:c>
      <x:c r="F6" s="27" t="str">
        <x:v>项目明细应同步调整至差额为0</x:v>
      </x:c>
    </x:row>
    <x:row r="7">
      <x:c r="A7" s="27" t="n">
        <x:v>3</x:v>
      </x:c>
      <x:c r="B7" s="27" t="str">
        <x:v>客流目标</x:v>
      </x:c>
      <x:c r="C7" s="27" t="str">
        <x:v>50/60/75/80万人</x:v>
      </x:c>
      <x:c r="D7" s="27" t="str">
        <x:v>参数设置B5:E5</x:v>
      </x:c>
      <x:c r="E7" s="27" t="str">
        <x:v>影响人均贡献</x:v>
      </x:c>
      <x:c r="F7" s="27" t="str">
        <x:v>稳定期新增客流中包含免费游园人次</x:v>
      </x:c>
    </x:row>
    <x:row r="8">
      <x:c r="A8" s="27" t="n">
        <x:v>4</x:v>
      </x:c>
      <x:c r="B8" s="27" t="str">
        <x:v>付费转化</x:v>
      </x:c>
      <x:c r="C8" s="27" t="str">
        <x:v>50%/60%/67%/63%</x:v>
      </x:c>
      <x:c r="D8" s="27" t="str">
        <x:v>参数设置B6:E6</x:v>
      </x:c>
      <x:c r="E8" s="27" t="str">
        <x:v>影响付费客单价校验</x:v>
      </x:c>
      <x:c r="F8" s="27" t="str">
        <x:v>不是对各项目再次统一乘系数</x:v>
      </x:c>
    </x:row>
    <x:row r="9">
      <x:c r="A9" s="27" t="n">
        <x:v>5</x:v>
      </x:c>
      <x:c r="B9" s="27" t="str">
        <x:v>宝贝王门票收入</x:v>
      </x:c>
      <x:c r="C9" s="27" t="str">
        <x:v>研学人数×30元＋一般游客×45元</x:v>
      </x:c>
      <x:c r="D9" s="27" t="str">
        <x:v>超级宝贝王B5:E10</x:v>
      </x:c>
      <x:c r="E9" s="27" t="str">
        <x:v>直接改变宝贝王收入</x:v>
      </x:c>
      <x:c r="F9" s="27" t="str">
        <x:v>采用附件测算逻辑</x:v>
      </x:c>
    </x:row>
    <x:row r="10">
      <x:c r="A10" s="27" t="n">
        <x:v>6</x:v>
      </x:c>
      <x:c r="B10" s="27" t="str">
        <x:v>宝贝王二消</x:v>
      </x:c>
      <x:c r="C10" s="27" t="str">
        <x:v>总客流×30%×15元</x:v>
      </x:c>
      <x:c r="D10" s="27" t="str">
        <x:v>参数设置B29:B30</x:v>
      </x:c>
      <x:c r="E10" s="27" t="str">
        <x:v>直接改变二消收入</x:v>
      </x:c>
      <x:c r="F10" s="27" t="str">
        <x:v>与全园礼品拆分去重</x:v>
      </x:c>
    </x:row>
    <x:row r="11">
      <x:c r="A11" s="27" t="n">
        <x:v>7</x:v>
      </x:c>
      <x:c r="B11" s="27" t="str">
        <x:v>万达分成</x:v>
      </x:c>
      <x:c r="C11" s="27" t="str">
        <x:v>宝贝王门票/体验流水×10%</x:v>
      </x:c>
      <x:c r="D11" s="27" t="str">
        <x:v>参数设置B16</x:v>
      </x:c>
      <x:c r="E11" s="27" t="str">
        <x:v>改变宝贝王成本</x:v>
      </x:c>
      <x:c r="F11" s="27" t="str">
        <x:v>不对宝贝王二消及全园收入计提</x:v>
      </x:c>
    </x:row>
    <x:row r="12">
      <x:c r="A12" s="27" t="n">
        <x:v>8</x:v>
      </x:c>
      <x:c r="B12" s="27" t="str">
        <x:v>品牌费</x:v>
      </x:c>
      <x:c r="C12" s="27" t="str">
        <x:v>一次性100万元，使用期10年</x:v>
      </x:c>
      <x:c r="D12" s="27" t="str">
        <x:v>参数设置B17:B19</x:v>
      </x:c>
      <x:c r="E12" s="27" t="str">
        <x:v>影响首年现金流及年度摊销</x:v>
      </x:c>
      <x:c r="F12" s="27" t="str">
        <x:v>现金支出与会计摊销分别展示</x:v>
      </x:c>
    </x:row>
    <x:row r="13">
      <x:c r="A13" s="27" t="n">
        <x:v>9</x:v>
      </x:c>
      <x:c r="B13" s="27" t="str">
        <x:v>线上渠道费</x:v>
      </x:c>
      <x:c r="C13" s="27" t="str">
        <x:v>一般游客收入×线上占比70%×佣金10%</x:v>
      </x:c>
      <x:c r="D13" s="27" t="str">
        <x:v>参数设置B23:B24</x:v>
      </x:c>
      <x:c r="E13" s="27" t="str">
        <x:v>改变宝贝王渠道成本</x:v>
      </x:c>
      <x:c r="F13" s="27" t="str">
        <x:v>与万达分成并列，不相互冲抵</x:v>
      </x:c>
    </x:row>
    <x:row r="14">
      <x:c r="A14" s="27" t="n">
        <x:v>10</x:v>
      </x:c>
      <x:c r="B14" s="27" t="str">
        <x:v>人工成本</x:v>
      </x:c>
      <x:c r="C14" s="27" t="str">
        <x:v>宝贝王按12个月216.72万元</x:v>
      </x:c>
      <x:c r="D14" s="27" t="str">
        <x:v>超级宝贝王B26:E26</x:v>
      </x:c>
      <x:c r="E14" s="27" t="str">
        <x:v>影响经营贡献</x:v>
      </x:c>
      <x:c r="F14" s="27" t="str">
        <x:v>原表10个月工资口径已规范为全年</x:v>
      </x:c>
    </x:row>
    <x:row r="15">
      <x:c r="A15" s="27" t="n">
        <x:v>11</x:v>
      </x:c>
      <x:c r="B15" s="27" t="str">
        <x:v>项目成本</x:v>
      </x:c>
      <x:c r="C15" s="27" t="str">
        <x:v>收入×直接成本率/渠道率/合作分成率＋固定成本</x:v>
      </x:c>
      <x:c r="D15" s="27" t="str">
        <x:v>成本利润B:E列</x:v>
      </x:c>
      <x:c r="E15" s="27" t="str">
        <x:v>影响经营贡献</x:v>
      </x:c>
      <x:c r="F15" s="27" t="str">
        <x:v>均为经营预算假设，需结合运营报价更新</x:v>
      </x:c>
    </x:row>
    <x:row r="16">
      <x:c r="A16" s="27" t="n">
        <x:v>12</x:v>
      </x:c>
      <x:c r="B16" s="27" t="str">
        <x:v>容量约束</x:v>
      </x:c>
      <x:c r="C16" s="27" t="str">
        <x:v>目标收入不得超过合理容量上限</x:v>
      </x:c>
      <x:c r="D16" s="27" t="str">
        <x:v>容量校验C:G列</x:v>
      </x:c>
      <x:c r="E16" s="27" t="str">
        <x:v>影响项目收入合理性</x:v>
      </x:c>
      <x:c r="F16" s="27" t="str">
        <x:v>餐饮默认日翻台上限4次，可修改</x:v>
      </x:c>
    </x:row>
    <x:row r="17">
      <x:c r="A17" s="27" t="n">
        <x:v>13</x:v>
      </x:c>
      <x:c r="B17" s="27" t="str">
        <x:v>无硬件增收</x:v>
      </x:c>
      <x:c r="C17" s="27" t="str">
        <x:v>全部措施嵌入项目收入目标</x:v>
      </x:c>
      <x:c r="D17" s="27" t="str">
        <x:v>无硬件增收D:F列</x:v>
      </x:c>
      <x:c r="E17" s="27" t="str">
        <x:v>解释增长来源</x:v>
      </x:c>
      <x:c r="F17" s="27" t="str">
        <x:v>不得把措施收入再次叠加到5,000万元</x:v>
      </x:c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 ht="40" customHeight="1">
      <x:c r="A20" s="45" t="str">
        <x:v>使用提示：黄色底、蓝色字为可调整输入；绿色为关键结果；修改任何项目收入后，应检查“收入构成”第29行差额和“容量校验”状态。</x:v>
      </x:c>
      <x:c r="B20" s="45"/>
      <x:c r="C20" s="45"/>
      <x:c r="D20" s="45"/>
      <x:c r="E20" s="45"/>
      <x:c r="F20" s="45"/>
    </x:row>
  </x:sheetData>
  <x:mergeCells>
    <x:mergeCell ref="A1:F2"/>
    <x:mergeCell ref="A20:F20"/>
  </x:mergeCells>
  <x:pageMargins left="0.7" right="0.7" top="0.75" bottom="0.75" header="0.3" footer="0.3"/>
</x:worksheet>
</file>