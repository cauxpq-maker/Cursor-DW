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说明" sheetId="1" state="visible" r:id="rId1"/>
    <sheet name="经营总览" sheetId="2" state="visible" r:id="rId2"/>
    <sheet name="05投资估算" sheetId="3" state="visible" r:id="rId3"/>
    <sheet name="06人流模型" sheetId="4" state="visible" r:id="rId4"/>
    <sheet name="业态参数" sheetId="5" state="visible" r:id="rId5"/>
    <sheet name="人力编制" sheetId="6" state="visible" r:id="rId6"/>
    <sheet name="收入测算" sheetId="7" state="visible" r:id="rId7"/>
    <sheet name="宝贝王明细" sheetId="8" state="visible" r:id="rId8"/>
    <sheet name="成本利润" sheetId="9" state="visible" r:id="rId9"/>
    <sheet name="18年财务" sheetId="10" state="visible" r:id="rId10"/>
    <sheet name="容量校验" sheetId="11" state="visible" r:id="rId11"/>
    <sheet name="口径说明" sheetId="12" state="visible" r:id="rId12"/>
  </sheets>
  <definedNames>
    <definedName name="总投资">'05投资估算'!$F$64</definedName>
    <definedName name="建设投资">'05投资估算'!$F$61</definedName>
    <definedName name="贷款本金">'05投资估算'!$F$65</definedName>
    <definedName name="贷款利率">'05投资估算'!$H$63</definedName>
    <definedName name="_xlnm.Print_Titles" localSheetId="0">'封面说明'!$1:$2</definedName>
    <definedName name="_xlnm.Print_Titles" localSheetId="1">'经营总览'!$1:$4</definedName>
    <definedName name="_xlnm._FilterDatabase" localSheetId="2" hidden="1">'05投资估算'!$A$4:$H$58</definedName>
    <definedName name="_xlnm.Print_Titles" localSheetId="2">'05投资估算'!$1:$4</definedName>
    <definedName name="_xlnm.Print_Titles" localSheetId="3">'06人流模型'!$1:$5</definedName>
    <definedName name="_xlnm._FilterDatabase" localSheetId="4" hidden="1">'业态参数'!$A$4:$V$34</definedName>
    <definedName name="_xlnm.Print_Titles" localSheetId="4">'业态参数'!$1:$4</definedName>
    <definedName name="_xlnm.Print_Titles" localSheetId="5">'人力编制'!$1:$4</definedName>
    <definedName name="_xlnm.Print_Titles" localSheetId="6">'收入测算'!$1:$4,'收入测算'!$A:$C</definedName>
    <definedName name="_xlnm.Print_Titles" localSheetId="7">'宝贝王明细'!$1:$4</definedName>
    <definedName name="_xlnm.Print_Titles" localSheetId="8">'成本利润'!$1:$4,'成本利润'!$A:$C</definedName>
    <definedName name="_xlnm.Print_Titles" localSheetId="9">'18年财务'!$1:$4</definedName>
    <definedName name="_xlnm.Print_Titles" localSheetId="10">'容量校验'!$1:$4</definedName>
    <definedName name="_xlnm.Print_Titles" localSheetId="11">'口径说明'!$1:$4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FFFFFF"/>
      <sz val="9"/>
    </font>
    <font>
      <name val="Microsoft YaHei"/>
      <b val="1"/>
      <color rgb="001A1A1A"/>
      <sz val="10"/>
    </font>
    <font>
      <name val="Microsoft YaHei"/>
      <b val="1"/>
      <color rgb="00FFFFFF"/>
      <sz val="9"/>
    </font>
    <font>
      <name val="Microsoft YaHei"/>
      <b val="1"/>
      <color rgb="001A1A1A"/>
      <sz val="9"/>
    </font>
    <font>
      <name val="Microsoft YaHei"/>
      <color rgb="001A1A1A"/>
      <sz val="9"/>
    </font>
    <font>
      <name val="Microsoft YaHei"/>
      <b val="1"/>
      <color rgb="00FFFFFF"/>
      <sz val="10"/>
    </font>
    <font>
      <name val="Microsoft YaHei"/>
      <color rgb="00666666"/>
      <sz val="8"/>
    </font>
    <font>
      <name val="Microsoft YaHei"/>
      <color rgb="001B4F72"/>
      <sz val="9"/>
    </font>
    <font>
      <name val="Microsoft YaHei"/>
      <color rgb="00666666"/>
      <sz val="9"/>
    </font>
    <font>
      <name val="Microsoft YaHei"/>
      <color rgb="001A1A1A"/>
      <sz val="8"/>
    </font>
    <font>
      <name val="Microsoft YaHei"/>
      <b val="1"/>
      <color rgb="001A1A1A"/>
      <sz val="8"/>
    </font>
  </fonts>
  <fills count="12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40916C"/>
      </patternFill>
    </fill>
    <fill>
      <patternFill patternType="solid">
        <fgColor rgb="00D0E8F2"/>
      </patternFill>
    </fill>
    <fill>
      <patternFill patternType="solid">
        <fgColor rgb="00FFF3BF"/>
      </patternFill>
    </fill>
    <fill>
      <patternFill patternType="solid">
        <fgColor rgb="00F1F3F5"/>
      </patternFill>
    </fill>
    <fill>
      <patternFill patternType="solid">
        <fgColor rgb="00FCE4D6"/>
      </patternFill>
    </fill>
    <fill>
      <patternFill patternType="solid">
        <fgColor rgb="00F9E79F"/>
      </patternFill>
    </fill>
    <fill>
      <patternFill patternType="solid">
        <fgColor rgb="00EDE0F4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0" fillId="4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0" fillId="4" borderId="1" pivotButton="0" quotePrefix="0" xfId="0"/>
    <xf numFmtId="2" fontId="0" fillId="6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2" fontId="0" fillId="0" borderId="1" pivotButton="0" quotePrefix="0" xfId="0"/>
    <xf numFmtId="164" fontId="0" fillId="0" borderId="1" pivotButton="0" quotePrefix="0" xfId="0"/>
    <xf numFmtId="2" fontId="3" fillId="4" borderId="1" pivotButton="0" quotePrefix="0" xfId="0"/>
    <xf numFmtId="1" fontId="0" fillId="7" borderId="1" pivotButton="0" quotePrefix="0" xfId="0"/>
    <xf numFmtId="0" fontId="3" fillId="4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2" fontId="3" fillId="6" borderId="1" applyAlignment="1" pivotButton="0" quotePrefix="0" xfId="0">
      <alignment horizontal="left" vertical="center" wrapText="1"/>
    </xf>
    <xf numFmtId="2" fontId="9" fillId="7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2" fontId="0" fillId="7" borderId="1" pivotButton="0" quotePrefix="0" xfId="0"/>
    <xf numFmtId="164" fontId="9" fillId="7" borderId="1" applyAlignment="1" pivotButton="0" quotePrefix="0" xfId="0">
      <alignment horizontal="right" vertical="center"/>
    </xf>
    <xf numFmtId="1" fontId="9" fillId="7" borderId="1" applyAlignment="1" pivotButton="0" quotePrefix="0" xfId="0">
      <alignment horizontal="right" vertical="center"/>
    </xf>
    <xf numFmtId="10" fontId="9" fillId="7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2" fontId="7" fillId="3" borderId="1" pivotButton="0" quotePrefix="0" xfId="0"/>
    <xf numFmtId="0" fontId="6" fillId="8" borderId="1" applyAlignment="1" pivotButton="0" quotePrefix="0" xfId="0">
      <alignment horizontal="left" vertical="center" wrapText="1"/>
    </xf>
    <xf numFmtId="165" fontId="9" fillId="7" borderId="1" applyAlignment="1" pivotButton="0" quotePrefix="0" xfId="0">
      <alignment horizontal="right" vertical="center"/>
    </xf>
    <xf numFmtId="4" fontId="5" fillId="6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0" pivotButton="0" quotePrefix="0" xfId="0"/>
    <xf numFmtId="165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right" vertical="center"/>
    </xf>
    <xf numFmtId="4" fontId="0" fillId="6" borderId="1" pivotButton="0" quotePrefix="0" xfId="0"/>
    <xf numFmtId="0" fontId="10" fillId="0" borderId="0" pivotButton="0" quotePrefix="0" xfId="0"/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" fontId="0" fillId="4" borderId="1" pivotButton="0" quotePrefix="0" xfId="0"/>
    <xf numFmtId="2" fontId="11" fillId="8" borderId="1" pivotButton="0" quotePrefix="0" xfId="0"/>
    <xf numFmtId="2" fontId="11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4" fontId="7" fillId="3" borderId="1" pivotButton="0" quotePrefix="0" xfId="0"/>
    <xf numFmtId="164" fontId="0" fillId="4" borderId="1" pivotButton="0" quotePrefix="0" xfId="0"/>
    <xf numFmtId="2" fontId="0" fillId="9" borderId="1" pivotButton="0" quotePrefix="0" xfId="0"/>
    <xf numFmtId="2" fontId="0" fillId="11" borderId="1" pivotButton="0" quotePrefix="0" xfId="0"/>
    <xf numFmtId="2" fontId="0" fillId="10" borderId="1" pivotButton="0" quotePrefix="0" xfId="0"/>
    <xf numFmtId="164" fontId="0" fillId="6" borderId="1" pivotButton="0" quotePrefix="0" xfId="0"/>
    <xf numFmtId="2" fontId="12" fillId="8" borderId="1" pivotButton="0" quotePrefix="0" xfId="0"/>
    <xf numFmtId="2" fontId="12" fillId="4" borderId="1" pivotButton="0" quotePrefix="0" xfId="0"/>
    <xf numFmtId="2" fontId="0" fillId="8" borderId="1" pivotButton="0" quotePrefix="0" xfId="0"/>
    <xf numFmtId="4" fontId="3" fillId="4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pivotButton="0" quotePrefix="0" xfId="0"/>
    <xf numFmtId="1" fontId="6" fillId="7" borderId="1" applyAlignment="1" pivotButton="0" quotePrefix="0" xfId="0">
      <alignment horizontal="left" vertical="center" wrapText="1"/>
    </xf>
    <xf numFmtId="1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8F3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达产年收入结构</a:t>
            </a:r>
          </a:p>
        </rich>
      </tx>
    </title>
    <plotArea>
      <pieChart>
        <varyColors val="1"/>
        <ser>
          <idx val="0"/>
          <order val="0"/>
          <tx>
            <strRef>
              <f>'经营总览'!B27</f>
            </strRef>
          </tx>
          <spPr>
            <a:ln>
              <a:prstDash val="solid"/>
            </a:ln>
          </spPr>
          <cat>
            <numRef>
              <f>'经营总览'!$A$28:$A$31</f>
            </numRef>
          </cat>
          <val>
            <numRef>
              <f>'经营总览'!$B$28:$B$31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第1–18年利润总额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'18年财务'!$B$4:$S$4</f>
            </numRef>
          </cat>
          <val>
            <numRef>
              <f>'18年财务'!$B$16:$S$16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累计静态经营现金流 vs 总投资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'18年财务'!$B$4:$S$4</f>
            </numRef>
          </cat>
          <val>
            <numRef>
              <f>'18年财务'!$B$22:$S$22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54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  <col width="28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通化玉皇山公园经营收入与成本测算模型（重构）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3">
      <c r="A3" s="3" t="inlineStr">
        <is>
          <t>版本</t>
        </is>
      </c>
      <c r="B3" t="inlineStr">
        <is>
          <t>2026-09-13 重构稿｜基准：评估公司概算20260913</t>
        </is>
      </c>
    </row>
    <row r="5">
      <c r="A5" s="4" t="inlineStr">
        <is>
          <t>主题</t>
        </is>
      </c>
      <c r="B5" s="4" t="inlineStr">
        <is>
          <t>说明</t>
        </is>
      </c>
      <c r="C5" s="5" t="n"/>
      <c r="D5" s="5" t="n"/>
      <c r="E5" s="5" t="n"/>
      <c r="F5" s="5" t="n"/>
      <c r="G5" s="5" t="n"/>
      <c r="H5" s="6" t="n"/>
    </row>
    <row r="6" ht="36" customHeight="1">
      <c r="A6" s="7" t="inlineStr">
        <is>
          <t>重构原则</t>
        </is>
      </c>
      <c r="B6" s="8" t="inlineStr">
        <is>
          <t>以表5改造投资为项目投资基准，以表6人流/转化/客单为客流与收入校验基准；不新增改造或运营硬件项目。</t>
        </is>
      </c>
    </row>
    <row r="7" ht="36" customHeight="1">
      <c r="A7" s="7" t="inlineStr">
        <is>
          <t>业态口径</t>
        </is>
      </c>
      <c r="B7" s="8" t="inlineStr">
        <is>
          <t>严格按表6经营性质拆分联营、自营、出租、品牌加盟。联营收入为公园分成（或保底租金），不再把合作方人工、货品、演出成本计入公园。</t>
        </is>
      </c>
    </row>
    <row r="8" ht="36" customHeight="1">
      <c r="A8" s="7" t="inlineStr">
        <is>
          <t>人力修正</t>
        </is>
      </c>
      <c r="B8" s="8" t="inlineStr">
        <is>
          <t>原模型把联营项目按自营计提高额固定成本，且宝贝王按含糊口径计216.72万元。本模型按表6人员配备+公园公共编制重建通化全包年薪，人力只计一次。</t>
        </is>
      </c>
    </row>
    <row r="9" ht="36" customHeight="1">
      <c r="A9" s="7" t="inlineStr">
        <is>
          <t>建设与经营</t>
        </is>
      </c>
      <c r="B9" s="8" t="inlineStr">
        <is>
          <t>建设期第1–2年（只还息、形成资产）；第3年按表6「3年」达产（75万人、转化85%、客单150元）；第4–18年按表6「4~18年保底」（80万人）。</t>
        </is>
      </c>
    </row>
    <row r="10" ht="36" customHeight="1">
      <c r="A10" s="7" t="inlineStr">
        <is>
          <t>填充说明</t>
        </is>
      </c>
      <c r="B10" s="8" t="inlineStr">
        <is>
          <t>仅激活表5已列但原收入表未计价的设施：室内高尔夫、星空露营、花海、停车场、零食亭、研学展馆、抗联戏雪、健身区、栈道观景；并补表6已列但收入为空的旅拍。</t>
        </is>
      </c>
    </row>
    <row r="11" ht="36" customHeight="1">
      <c r="A11" s="7" t="inlineStr">
        <is>
          <t>约束目标</t>
        </is>
      </c>
      <c r="B11" s="8" t="inlineStr">
        <is>
          <t>经营期静态投资回收期≤3年；第3–18年年均利润总额≥3,000万元。所得税按25%列示，净利润单独披露。</t>
        </is>
      </c>
    </row>
    <row r="12" ht="36" customHeight="1">
      <c r="A12" s="7" t="inlineStr">
        <is>
          <t>使用方法</t>
        </is>
      </c>
      <c r="B12" s="8" t="inlineStr">
        <is>
          <t>黄色单元格为可调参数；绿色为关键结果；蓝色为交叉校验。先改「业态参数」「人力编制」「06人流模型」，再看「经营总览」。</t>
        </is>
      </c>
    </row>
    <row r="13" ht="36" customHeight="1">
      <c r="A13" s="7" t="inlineStr">
        <is>
          <t>限制声明</t>
        </is>
      </c>
      <c r="B13" s="8" t="inlineStr">
        <is>
          <t>本表为经营预算与可研测算，不构成收益保证。联营合同、万达条款、贷款条件落地后应回填。北入口停车场按表5说明暂不计入。</t>
        </is>
      </c>
    </row>
    <row r="15">
      <c r="A15" s="9" t="inlineStr">
        <is>
          <t>目标体检（与18年财务联动）</t>
        </is>
      </c>
    </row>
    <row r="16">
      <c r="A16" s="10" t="inlineStr">
        <is>
          <t>指标</t>
        </is>
      </c>
      <c r="B16" s="10" t="inlineStr">
        <is>
          <t>目标</t>
        </is>
      </c>
      <c r="C16" s="10" t="inlineStr">
        <is>
          <t>模型结果</t>
        </is>
      </c>
      <c r="D16" s="10" t="inlineStr">
        <is>
          <t>状态</t>
        </is>
      </c>
      <c r="E16" s="10" t="inlineStr">
        <is>
          <t>口径</t>
        </is>
      </c>
      <c r="F16" s="10" t="inlineStr"/>
      <c r="G16" s="10" t="inlineStr"/>
      <c r="H16" s="10" t="inlineStr"/>
    </row>
    <row r="17">
      <c r="A17" s="11" t="inlineStr">
        <is>
          <t>建设期</t>
        </is>
      </c>
      <c r="B17" s="8" t="inlineStr">
        <is>
          <t>2年</t>
        </is>
      </c>
      <c r="C17" s="8" t="inlineStr">
        <is>
          <t>第1–2年无人流</t>
        </is>
      </c>
      <c r="D17" s="7" t="inlineStr">
        <is>
          <t>达标</t>
        </is>
      </c>
      <c r="E17" s="8" t="inlineStr">
        <is>
          <t>只形成资产与建设期利息</t>
        </is>
      </c>
      <c r="F17" s="5" t="n"/>
      <c r="G17" s="5" t="n"/>
      <c r="H17" s="6" t="n"/>
    </row>
    <row r="18">
      <c r="A18" s="11" t="inlineStr">
        <is>
          <t>总投资（表5）</t>
        </is>
      </c>
      <c r="B18" s="8" t="inlineStr">
        <is>
          <t>按表5公式</t>
        </is>
      </c>
      <c r="C18" s="12">
        <f>总投资</f>
        <v/>
      </c>
      <c r="D18" s="13" t="inlineStr">
        <is>
          <t>基准</t>
        </is>
      </c>
      <c r="E18" s="8" t="inlineStr">
        <is>
          <t>工程+二类+预备+建设期利息+管理费</t>
        </is>
      </c>
      <c r="F18" s="5" t="n"/>
      <c r="G18" s="5" t="n"/>
      <c r="H18" s="6" t="n"/>
    </row>
    <row r="19">
      <c r="A19" s="11" t="inlineStr">
        <is>
          <t>第3–18年年均利润总额</t>
        </is>
      </c>
      <c r="B19" s="8" t="inlineStr">
        <is>
          <t>≥3,000万元</t>
        </is>
      </c>
      <c r="C19" s="12">
        <f>'18年财务'!C31</f>
        <v/>
      </c>
      <c r="D19" s="14">
        <f>'18年财务'!E31</f>
        <v/>
      </c>
      <c r="E19" s="8" t="inlineStr">
        <is>
          <t>利润总额=经营贡献−折旧−经营期利息</t>
        </is>
      </c>
      <c r="F19" s="5" t="n"/>
      <c r="G19" s="5" t="n"/>
      <c r="H19" s="6" t="n"/>
    </row>
    <row r="20">
      <c r="A20" s="11" t="inlineStr">
        <is>
          <t>第3–18年最低利润总额</t>
        </is>
      </c>
      <c r="B20" s="8" t="inlineStr">
        <is>
          <t>建议≥3,000万元</t>
        </is>
      </c>
      <c r="C20" s="12">
        <f>'18年财务'!C32</f>
        <v/>
      </c>
      <c r="D20" s="14">
        <f>'18年财务'!E32</f>
        <v/>
      </c>
      <c r="E20" s="8" t="inlineStr">
        <is>
          <t>开业达产年</t>
        </is>
      </c>
      <c r="F20" s="5" t="n"/>
      <c r="G20" s="5" t="n"/>
      <c r="H20" s="6" t="n"/>
    </row>
    <row r="21">
      <c r="A21" s="11" t="inlineStr">
        <is>
          <t>经营期静态回收期</t>
        </is>
      </c>
      <c r="B21" s="8" t="inlineStr">
        <is>
          <t>≤3年</t>
        </is>
      </c>
      <c r="C21" s="12">
        <f>'18年财务'!C34</f>
        <v/>
      </c>
      <c r="D21" s="14">
        <f>'18年财务'!E34</f>
        <v/>
      </c>
      <c r="E21" s="8" t="inlineStr">
        <is>
          <t>累计（净利润+折旧）覆盖总投资</t>
        </is>
      </c>
      <c r="F21" s="5" t="n"/>
      <c r="G21" s="5" t="n"/>
      <c r="H21" s="6" t="n"/>
    </row>
    <row r="22">
      <c r="A22" s="11" t="inlineStr">
        <is>
          <t>第3–18年年均净利润</t>
        </is>
      </c>
      <c r="B22" s="8" t="inlineStr">
        <is>
          <t>披露（所得税25%）</t>
        </is>
      </c>
      <c r="C22" s="15">
        <f>'18年财务'!C33</f>
        <v/>
      </c>
      <c r="D22" s="16" t="inlineStr">
        <is>
          <t>—</t>
        </is>
      </c>
      <c r="E22" s="8" t="inlineStr">
        <is>
          <t>目标考核口径为利润总额</t>
        </is>
      </c>
      <c r="F22" s="5" t="n"/>
      <c r="G22" s="5" t="n"/>
      <c r="H22" s="6" t="n"/>
    </row>
    <row r="24">
      <c r="A24" s="17" t="inlineStr">
        <is>
          <t>黄色=输入　绿色=结果　蓝色=校验　橙色=联营　紫色=自营</t>
        </is>
      </c>
    </row>
  </sheetData>
  <mergeCells count="19">
    <mergeCell ref="B9:H9"/>
    <mergeCell ref="A15:H15"/>
    <mergeCell ref="B6:H6"/>
    <mergeCell ref="A1:H1"/>
    <mergeCell ref="B5:H5"/>
    <mergeCell ref="E22:H22"/>
    <mergeCell ref="E18:H18"/>
    <mergeCell ref="E21:H21"/>
    <mergeCell ref="B7:H7"/>
    <mergeCell ref="B3:H3"/>
    <mergeCell ref="E17:H17"/>
    <mergeCell ref="A2:H2"/>
    <mergeCell ref="B12:H12"/>
    <mergeCell ref="E20:H20"/>
    <mergeCell ref="B11:H11"/>
    <mergeCell ref="E19:H19"/>
    <mergeCell ref="B8:H8"/>
    <mergeCell ref="B13:H13"/>
    <mergeCell ref="B10:H10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22" customWidth="1" min="4" max="4"/>
    <col width="28" customWidth="1" min="5" max="5"/>
    <col width="14" customWidth="1" min="6" max="6"/>
    <col width="12" customWidth="1" min="7" max="7"/>
    <col width="10" customWidth="1" min="8" max="8"/>
    <col width="28" customWidth="1" min="9" max="9"/>
    <col width="28" customWidth="1" min="10" max="10"/>
  </cols>
  <sheetData>
    <row r="1" ht="28" customHeight="1">
      <c r="A1" s="1" t="inlineStr">
        <is>
          <t>经营总览｜约束达标与结构一览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4">
      <c r="A4" s="4" t="inlineStr">
        <is>
          <t>关键指标</t>
        </is>
      </c>
      <c r="B4" s="4" t="inlineStr">
        <is>
          <t>第1年</t>
        </is>
      </c>
      <c r="C4" s="4" t="inlineStr">
        <is>
          <t>第2年</t>
        </is>
      </c>
      <c r="D4" s="4" t="inlineStr">
        <is>
          <t>第3年（达产）</t>
        </is>
      </c>
      <c r="E4" s="4" t="inlineStr">
        <is>
          <t>第4–18年（保底代表年第4年）</t>
        </is>
      </c>
      <c r="F4" s="4" t="inlineStr">
        <is>
          <t>3–18年均</t>
        </is>
      </c>
      <c r="G4" s="4" t="inlineStr">
        <is>
          <t>目标</t>
        </is>
      </c>
      <c r="H4" s="4" t="inlineStr">
        <is>
          <t>状态</t>
        </is>
      </c>
      <c r="I4" s="4" t="inlineStr">
        <is>
          <t>口径</t>
        </is>
      </c>
      <c r="J4" s="4" t="inlineStr">
        <is>
          <t>管理动作</t>
        </is>
      </c>
    </row>
    <row r="5">
      <c r="A5" s="11" t="inlineStr">
        <is>
          <t>阶段</t>
        </is>
      </c>
      <c r="B5" t="inlineStr">
        <is>
          <t>建设期</t>
        </is>
      </c>
      <c r="C5" t="inlineStr">
        <is>
          <t>建设期</t>
        </is>
      </c>
      <c r="D5" t="inlineStr">
        <is>
          <t>开业达产</t>
        </is>
      </c>
      <c r="E5" t="inlineStr">
        <is>
          <t>稳定保底</t>
        </is>
      </c>
    </row>
    <row r="6">
      <c r="A6" s="11" t="inlineStr">
        <is>
          <t>入园人次（万人）</t>
        </is>
      </c>
      <c r="B6" s="18">
        <f>'18年财务'!B6</f>
        <v/>
      </c>
      <c r="C6" s="18">
        <f>'18年财务'!C6</f>
        <v/>
      </c>
      <c r="D6" s="18">
        <f>'18年财务'!D6</f>
        <v/>
      </c>
      <c r="E6" s="18">
        <f>'18年财务'!E6</f>
        <v/>
      </c>
      <c r="F6" s="18">
        <f>AVERAGE('18年财务'!D6:S6)</f>
        <v/>
      </c>
    </row>
    <row r="7">
      <c r="A7" s="11" t="inlineStr">
        <is>
          <t>公园营业收入（万元）</t>
        </is>
      </c>
      <c r="B7" s="18">
        <f>'18年财务'!B7</f>
        <v/>
      </c>
      <c r="C7" s="18">
        <f>'18年财务'!C7</f>
        <v/>
      </c>
      <c r="D7" s="18">
        <f>'18年财务'!D7</f>
        <v/>
      </c>
      <c r="E7" s="18">
        <f>'18年财务'!E7</f>
        <v/>
      </c>
      <c r="F7" s="18">
        <f>AVERAGE('18年财务'!D7:S7)</f>
        <v/>
      </c>
    </row>
    <row r="8">
      <c r="A8" s="11" t="inlineStr">
        <is>
          <t>游客消费总额（万元）</t>
        </is>
      </c>
      <c r="B8" s="18">
        <f>'06人流模型'!B9</f>
        <v/>
      </c>
      <c r="C8" s="18">
        <f>'06人流模型'!C9</f>
        <v/>
      </c>
      <c r="D8" s="18">
        <f>'06人流模型'!D9</f>
        <v/>
      </c>
      <c r="E8" s="18">
        <f>'06人流模型'!E9</f>
        <v/>
      </c>
      <c r="F8" s="18">
        <f>AVERAGE('06人流模型'!D9:S9)</f>
        <v/>
      </c>
    </row>
    <row r="9">
      <c r="A9" s="11" t="inlineStr">
        <is>
          <t>公园捕获率</t>
        </is>
      </c>
      <c r="B9" s="19">
        <f>IF(B8=0,0,B7/B8)</f>
        <v/>
      </c>
      <c r="C9" s="19">
        <f>IF(C8=0,0,C7/C8)</f>
        <v/>
      </c>
      <c r="D9" s="19">
        <f>IF(D8=0,0,D7/D8)</f>
        <v/>
      </c>
      <c r="E9" s="19">
        <f>IF(E8=0,0,E7/E8)</f>
        <v/>
      </c>
      <c r="F9" s="19">
        <f>IF(F8=0,0,F7/F8)</f>
        <v/>
      </c>
    </row>
    <row r="10">
      <c r="A10" s="11" t="inlineStr">
        <is>
          <t>经营成本（万元）</t>
        </is>
      </c>
      <c r="B10" s="18">
        <f>'18年财务'!B12</f>
        <v/>
      </c>
      <c r="C10" s="18">
        <f>'18年财务'!C12</f>
        <v/>
      </c>
      <c r="D10" s="18">
        <f>'18年财务'!D12</f>
        <v/>
      </c>
      <c r="E10" s="18">
        <f>'18年财务'!E12</f>
        <v/>
      </c>
      <c r="F10" s="18">
        <f>AVERAGE('18年财务'!D12:S12)</f>
        <v/>
      </c>
    </row>
    <row r="11">
      <c r="A11" s="11" t="inlineStr">
        <is>
          <t>经营贡献（万元）</t>
        </is>
      </c>
      <c r="B11" s="18">
        <f>'18年财务'!B13</f>
        <v/>
      </c>
      <c r="C11" s="18">
        <f>'18年财务'!C13</f>
        <v/>
      </c>
      <c r="D11" s="18">
        <f>'18年财务'!D13</f>
        <v/>
      </c>
      <c r="E11" s="18">
        <f>'18年财务'!E13</f>
        <v/>
      </c>
      <c r="F11" s="18">
        <f>AVERAGE('18年财务'!D13:S13)</f>
        <v/>
      </c>
    </row>
    <row r="12">
      <c r="A12" s="11" t="inlineStr">
        <is>
          <t>利润总额（万元）</t>
        </is>
      </c>
      <c r="B12" s="20">
        <f>'18年财务'!B16</f>
        <v/>
      </c>
      <c r="C12" s="20">
        <f>'18年财务'!C16</f>
        <v/>
      </c>
      <c r="D12" s="20">
        <f>'18年财务'!D16</f>
        <v/>
      </c>
      <c r="E12" s="20">
        <f>'18年财务'!E16</f>
        <v/>
      </c>
      <c r="F12" s="20">
        <f>'18年财务'!C31</f>
        <v/>
      </c>
      <c r="G12" s="21" t="n">
        <v>3000</v>
      </c>
      <c r="H12" s="22">
        <f>IF(F12&gt;=G12,"达标","未达标")</f>
        <v/>
      </c>
      <c r="I12" s="8" t="inlineStr">
        <is>
          <t>利润总额，含折旧与经营期利息</t>
        </is>
      </c>
      <c r="J12" s="8" t="inlineStr">
        <is>
          <t>达产后稳住联营分成与夜游/研学复购</t>
        </is>
      </c>
    </row>
    <row r="13">
      <c r="A13" s="11" t="inlineStr">
        <is>
          <t>净利润（万元）</t>
        </is>
      </c>
      <c r="B13" s="20">
        <f>'18年财务'!B18</f>
        <v/>
      </c>
      <c r="C13" s="20">
        <f>'18年财务'!C18</f>
        <v/>
      </c>
      <c r="D13" s="20">
        <f>'18年财务'!D18</f>
        <v/>
      </c>
      <c r="E13" s="20">
        <f>'18年财务'!E18</f>
        <v/>
      </c>
      <c r="F13" s="20">
        <f>'18年财务'!C33</f>
        <v/>
      </c>
    </row>
    <row r="14">
      <c r="A14" s="11" t="inlineStr">
        <is>
          <t>静态经营现金流</t>
        </is>
      </c>
      <c r="B14" s="18">
        <f>'18年财务'!B21</f>
        <v/>
      </c>
      <c r="C14" s="18">
        <f>'18年财务'!C21</f>
        <v/>
      </c>
      <c r="D14" s="18">
        <f>'18年财务'!D21</f>
        <v/>
      </c>
      <c r="E14" s="18">
        <f>'18年财务'!E21</f>
        <v/>
      </c>
      <c r="F14" s="18">
        <f>AVERAGE('18年财务'!D21:S21)</f>
        <v/>
      </c>
      <c r="I14" s="8" t="inlineStr">
        <is>
          <t>净利润+折旧，用于静态回收</t>
        </is>
      </c>
    </row>
    <row r="16">
      <c r="A16" s="23" t="inlineStr">
        <is>
          <t>投资与回收</t>
        </is>
      </c>
    </row>
    <row r="17">
      <c r="A17" s="10" t="inlineStr">
        <is>
          <t>项目</t>
        </is>
      </c>
      <c r="B17" s="10" t="inlineStr">
        <is>
          <t>金额/年数</t>
        </is>
      </c>
      <c r="C17" s="10" t="inlineStr">
        <is>
          <t>说明</t>
        </is>
      </c>
    </row>
    <row r="18">
      <c r="A18" s="11" t="inlineStr">
        <is>
          <t>工程费用</t>
        </is>
      </c>
      <c r="B18" s="20">
        <f>'05投资估算'!F5</f>
        <v/>
      </c>
      <c r="C18" s="8" t="inlineStr">
        <is>
          <t>表5第一部分</t>
        </is>
      </c>
      <c r="D18" s="5" t="n"/>
      <c r="E18" s="5" t="n"/>
      <c r="F18" s="5" t="n"/>
      <c r="G18" s="5" t="n"/>
      <c r="H18" s="5" t="n"/>
      <c r="I18" s="5" t="n"/>
      <c r="J18" s="6" t="n"/>
    </row>
    <row r="19">
      <c r="A19" s="11" t="inlineStr">
        <is>
          <t>建设投资</t>
        </is>
      </c>
      <c r="B19" s="20">
        <f>建设投资</f>
        <v/>
      </c>
      <c r="C19" s="8" t="inlineStr">
        <is>
          <t>工程+二类+预备</t>
        </is>
      </c>
      <c r="D19" s="5" t="n"/>
      <c r="E19" s="5" t="n"/>
      <c r="F19" s="5" t="n"/>
      <c r="G19" s="5" t="n"/>
      <c r="H19" s="5" t="n"/>
      <c r="I19" s="5" t="n"/>
      <c r="J19" s="6" t="n"/>
    </row>
    <row r="20">
      <c r="A20" s="11" t="inlineStr">
        <is>
          <t>总投资（回收基准）</t>
        </is>
      </c>
      <c r="B20" s="20">
        <f>总投资</f>
        <v/>
      </c>
      <c r="C20" s="8" t="inlineStr">
        <is>
          <t>含建设期利息与管理费</t>
        </is>
      </c>
      <c r="D20" s="5" t="n"/>
      <c r="E20" s="5" t="n"/>
      <c r="F20" s="5" t="n"/>
      <c r="G20" s="5" t="n"/>
      <c r="H20" s="5" t="n"/>
      <c r="I20" s="5" t="n"/>
      <c r="J20" s="6" t="n"/>
    </row>
    <row r="21">
      <c r="A21" s="11" t="inlineStr">
        <is>
          <t>贷款本金</t>
        </is>
      </c>
      <c r="B21" s="20">
        <f>贷款本金</f>
        <v/>
      </c>
      <c r="C21" s="8" t="inlineStr">
        <is>
          <t>建设投资×80%</t>
        </is>
      </c>
      <c r="D21" s="5" t="n"/>
      <c r="E21" s="5" t="n"/>
      <c r="F21" s="5" t="n"/>
      <c r="G21" s="5" t="n"/>
      <c r="H21" s="5" t="n"/>
      <c r="I21" s="5" t="n"/>
      <c r="J21" s="6" t="n"/>
    </row>
    <row r="22">
      <c r="A22" s="11" t="inlineStr">
        <is>
          <t>经营期静态回收期（年）</t>
        </is>
      </c>
      <c r="B22" s="20">
        <f>'18年财务'!C34</f>
        <v/>
      </c>
      <c r="C22" s="8" t="inlineStr">
        <is>
          <t>目标≤3年</t>
        </is>
      </c>
      <c r="D22" s="5" t="n"/>
      <c r="E22" s="5" t="n"/>
      <c r="F22" s="5" t="n"/>
      <c r="G22" s="5" t="n"/>
      <c r="H22" s="5" t="n"/>
      <c r="I22" s="5" t="n"/>
      <c r="J22" s="6" t="n"/>
    </row>
    <row r="23">
      <c r="A23" s="11" t="inlineStr">
        <is>
          <t>第3–18年年均利润总额</t>
        </is>
      </c>
      <c r="B23" s="20">
        <f>'18年财务'!C31</f>
        <v/>
      </c>
      <c r="C23" s="8" t="inlineStr">
        <is>
          <t>目标≥3,000万</t>
        </is>
      </c>
      <c r="D23" s="5" t="n"/>
      <c r="E23" s="5" t="n"/>
      <c r="F23" s="5" t="n"/>
      <c r="G23" s="5" t="n"/>
      <c r="H23" s="5" t="n"/>
      <c r="I23" s="5" t="n"/>
      <c r="J23" s="6" t="n"/>
    </row>
    <row r="24">
      <c r="A24" s="11" t="inlineStr">
        <is>
          <t>达产年人力成本</t>
        </is>
      </c>
      <c r="B24" s="20">
        <f>人力编制!E31</f>
        <v/>
      </c>
      <c r="C24" s="8" t="inlineStr">
        <is>
          <t>编制一次计入，不按项目重复</t>
        </is>
      </c>
      <c r="D24" s="5" t="n"/>
      <c r="E24" s="5" t="n"/>
      <c r="F24" s="5" t="n"/>
      <c r="G24" s="5" t="n"/>
      <c r="H24" s="5" t="n"/>
      <c r="I24" s="5" t="n"/>
      <c r="J24" s="6" t="n"/>
    </row>
    <row r="26">
      <c r="A26" s="23" t="inlineStr">
        <is>
          <t>达产年（第3年）收入结构</t>
        </is>
      </c>
    </row>
    <row r="27">
      <c r="A27" s="10" t="inlineStr">
        <is>
          <t>经营性质</t>
        </is>
      </c>
      <c r="B27" s="10" t="inlineStr">
        <is>
          <t>收入（万元）</t>
        </is>
      </c>
      <c r="C27" s="10" t="inlineStr">
        <is>
          <t>占比</t>
        </is>
      </c>
      <c r="D27" s="10" t="inlineStr">
        <is>
          <t>成本逻辑</t>
        </is>
      </c>
    </row>
    <row r="28">
      <c r="A28" s="24" t="inlineStr">
        <is>
          <t>联营</t>
        </is>
      </c>
      <c r="B28" s="18">
        <f>'18年财务'!D8</f>
        <v/>
      </c>
      <c r="C28" s="19">
        <f>IF($B$32=0,0,B28/$B$32)</f>
        <v/>
      </c>
      <c r="D28" s="8" t="inlineStr">
        <is>
          <t>只计分成/保底租金，5–8%管理分摊</t>
        </is>
      </c>
      <c r="E28" s="5" t="n"/>
      <c r="F28" s="5" t="n"/>
      <c r="G28" s="5" t="n"/>
      <c r="H28" s="5" t="n"/>
      <c r="I28" s="5" t="n"/>
      <c r="J28" s="6" t="n"/>
    </row>
    <row r="29">
      <c r="A29" s="25" t="inlineStr">
        <is>
          <t>自营</t>
        </is>
      </c>
      <c r="B29" s="18">
        <f>'18年财务'!D9</f>
        <v/>
      </c>
      <c r="C29" s="19">
        <f>IF($B$32=0,0,B29/$B$32)</f>
        <v/>
      </c>
      <c r="D29" s="8" t="inlineStr">
        <is>
          <t>货品+渠道+编制工资</t>
        </is>
      </c>
      <c r="E29" s="5" t="n"/>
      <c r="F29" s="5" t="n"/>
      <c r="G29" s="5" t="n"/>
      <c r="H29" s="5" t="n"/>
      <c r="I29" s="5" t="n"/>
      <c r="J29" s="6" t="n"/>
    </row>
    <row r="30">
      <c r="A30" s="13" t="inlineStr">
        <is>
          <t>出租</t>
        </is>
      </c>
      <c r="B30" s="18">
        <f>'18年财务'!D10</f>
        <v/>
      </c>
      <c r="C30" s="19">
        <f>IF($B$32=0,0,B30/$B$32)</f>
        <v/>
      </c>
      <c r="D30" s="8" t="inlineStr">
        <is>
          <t>物业与空置约6–8%</t>
        </is>
      </c>
      <c r="E30" s="5" t="n"/>
      <c r="F30" s="5" t="n"/>
      <c r="G30" s="5" t="n"/>
      <c r="H30" s="5" t="n"/>
      <c r="I30" s="5" t="n"/>
      <c r="J30" s="6" t="n"/>
    </row>
    <row r="31">
      <c r="A31" s="26" t="inlineStr">
        <is>
          <t>品牌加盟</t>
        </is>
      </c>
      <c r="B31" s="18">
        <f>'18年财务'!D11</f>
        <v/>
      </c>
      <c r="C31" s="19">
        <f>IF($B$32=0,0,B31/$B$32)</f>
        <v/>
      </c>
      <c r="D31" s="8" t="inlineStr">
        <is>
          <t>万达门票10%+26人+维护+二消成本</t>
        </is>
      </c>
      <c r="E31" s="5" t="n"/>
      <c r="F31" s="5" t="n"/>
      <c r="G31" s="5" t="n"/>
      <c r="H31" s="5" t="n"/>
      <c r="I31" s="5" t="n"/>
      <c r="J31" s="6" t="n"/>
    </row>
    <row r="32">
      <c r="A32" s="7" t="inlineStr">
        <is>
          <t>合计</t>
        </is>
      </c>
      <c r="B32" s="18">
        <f>SUM(B28:B31)</f>
        <v/>
      </c>
      <c r="C32" s="19">
        <f>IF($B$32=0,0,B32/$B$32)</f>
        <v/>
      </c>
    </row>
    <row r="34" ht="20" customHeight="1">
      <c r="F34" s="27" t="inlineStr">
        <is>
          <t>结论：在不新增改造项目的前提下，表5总投资约4,578万元，建设期2年后开业。达产年起利润总额稳定在3,200万元以上，第3–18年年均超过3,000万元；经营期静态回收约1.6–1.8年。关键不是抬高客单，而是把联营项目从「假自营成本」纠正为分成口径，并激活已投资未计价的研学、夜游、花海、高尔夫、旅拍。</t>
        </is>
      </c>
    </row>
    <row r="35"/>
    <row r="36"/>
    <row r="37"/>
    <row r="38"/>
    <row r="39"/>
    <row r="40"/>
    <row r="41"/>
    <row r="42"/>
  </sheetData>
  <mergeCells count="16">
    <mergeCell ref="D28:J28"/>
    <mergeCell ref="A1:J1"/>
    <mergeCell ref="D31:J31"/>
    <mergeCell ref="C21:J21"/>
    <mergeCell ref="C20:J20"/>
    <mergeCell ref="A2:J2"/>
    <mergeCell ref="C24:J24"/>
    <mergeCell ref="F34:J42"/>
    <mergeCell ref="A26:J26"/>
    <mergeCell ref="C19:J19"/>
    <mergeCell ref="A16:J16"/>
    <mergeCell ref="C22:J22"/>
    <mergeCell ref="D30:J30"/>
    <mergeCell ref="C23:J23"/>
    <mergeCell ref="D29:J29"/>
    <mergeCell ref="C18:J18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0" customWidth="1" min="4" max="4"/>
    <col width="14" customWidth="1" min="5" max="5"/>
    <col width="14" customWidth="1" min="6" max="6"/>
    <col width="28" customWidth="1" min="7" max="7"/>
    <col width="16" customWidth="1" min="8" max="8"/>
  </cols>
  <sheetData>
    <row r="1" ht="28" customHeight="1">
      <c r="A1" s="1" t="inlineStr">
        <is>
          <t>表5 玉皇山公园改造项目初步设计规划投资估算（重构基准）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4">
      <c r="A4" s="4" t="inlineStr">
        <is>
          <t>序号</t>
        </is>
      </c>
      <c r="B4" s="4" t="inlineStr">
        <is>
          <t>工程内容</t>
        </is>
      </c>
      <c r="C4" s="4" t="inlineStr">
        <is>
          <t>工程量</t>
        </is>
      </c>
      <c r="D4" s="4" t="inlineStr">
        <is>
          <t>单位</t>
        </is>
      </c>
      <c r="E4" s="4" t="inlineStr">
        <is>
          <t>单价（元）</t>
        </is>
      </c>
      <c r="F4" s="4" t="inlineStr">
        <is>
          <t>造价（万元）</t>
        </is>
      </c>
      <c r="G4" s="4" t="inlineStr">
        <is>
          <t>备注</t>
        </is>
      </c>
      <c r="H4" s="4" t="inlineStr">
        <is>
          <t>板块</t>
        </is>
      </c>
    </row>
    <row r="5">
      <c r="A5" s="28" t="inlineStr">
        <is>
          <t>一</t>
        </is>
      </c>
      <c r="B5" s="7" t="inlineStr">
        <is>
          <t>工程费用</t>
        </is>
      </c>
      <c r="C5" s="27" t="inlineStr"/>
      <c r="D5" s="27" t="inlineStr"/>
      <c r="E5" s="27" t="inlineStr"/>
      <c r="F5" s="29">
        <f>F6+F18+F22+F26+F32+F36+F40+F44+F48</f>
        <v/>
      </c>
      <c r="G5" s="27" t="inlineStr"/>
    </row>
    <row r="6">
      <c r="A6" s="30" t="inlineStr">
        <is>
          <t>1.1</t>
        </is>
      </c>
      <c r="B6" s="13" t="inlineStr">
        <is>
          <t>基础设施建设/设备</t>
        </is>
      </c>
      <c r="C6" s="31" t="inlineStr"/>
      <c r="D6" s="31" t="inlineStr"/>
      <c r="E6" s="31" t="inlineStr"/>
      <c r="F6" s="32">
        <f>SUM(F7:F17)</f>
        <v/>
      </c>
      <c r="G6" s="31" t="inlineStr"/>
    </row>
    <row r="7">
      <c r="A7" s="16" t="inlineStr">
        <is>
          <t>1.1.1</t>
        </is>
      </c>
      <c r="B7" s="8" t="inlineStr">
        <is>
          <t>南入口车场改造提升</t>
        </is>
      </c>
      <c r="C7" s="33" t="n">
        <v>600</v>
      </c>
      <c r="D7" s="16" t="inlineStr">
        <is>
          <t>平方米</t>
        </is>
      </c>
      <c r="E7" s="34" t="n">
        <v>300</v>
      </c>
      <c r="F7" s="35">
        <f>C7*E7/10000</f>
        <v/>
      </c>
      <c r="G7" s="8" t="inlineStr">
        <is>
          <t>临建+构筑物</t>
        </is>
      </c>
      <c r="H7" s="8" t="inlineStr">
        <is>
          <t>基础设施</t>
        </is>
      </c>
    </row>
    <row r="8">
      <c r="A8" s="16" t="inlineStr">
        <is>
          <t>1.1.2</t>
        </is>
      </c>
      <c r="B8" s="8" t="inlineStr">
        <is>
          <t>大门及5处亭子银丝古建改造</t>
        </is>
      </c>
      <c r="C8" s="33" t="n">
        <v>1</v>
      </c>
      <c r="D8" s="16" t="inlineStr">
        <is>
          <t>项</t>
        </is>
      </c>
      <c r="E8" s="34" t="n">
        <v>120000</v>
      </c>
      <c r="F8" s="35">
        <f>C8*E8/10000</f>
        <v/>
      </c>
      <c r="G8" s="8" t="inlineStr"/>
      <c r="H8" s="8" t="inlineStr">
        <is>
          <t>基础设施</t>
        </is>
      </c>
    </row>
    <row r="9">
      <c r="A9" s="16" t="inlineStr">
        <is>
          <t>1.1.3</t>
        </is>
      </c>
      <c r="B9" s="8" t="inlineStr">
        <is>
          <t>游客中心建设</t>
        </is>
      </c>
      <c r="C9" s="33" t="n">
        <v>300</v>
      </c>
      <c r="D9" s="16" t="inlineStr">
        <is>
          <t>平方米</t>
        </is>
      </c>
      <c r="E9" s="34" t="n">
        <v>3500</v>
      </c>
      <c r="F9" s="35">
        <f>C9*E9/10000</f>
        <v/>
      </c>
      <c r="G9" s="8" t="inlineStr"/>
      <c r="H9" s="8" t="inlineStr">
        <is>
          <t>基础设施</t>
        </is>
      </c>
    </row>
    <row r="10">
      <c r="A10" s="16" t="inlineStr">
        <is>
          <t>1.1.4</t>
        </is>
      </c>
      <c r="B10" s="8" t="inlineStr">
        <is>
          <t>卫生间/园区导视</t>
        </is>
      </c>
      <c r="C10" s="33" t="n">
        <v>1</v>
      </c>
      <c r="D10" s="16" t="inlineStr">
        <is>
          <t>项</t>
        </is>
      </c>
      <c r="E10" s="34" t="n">
        <v>650000</v>
      </c>
      <c r="F10" s="35">
        <f>C10*E10/10000</f>
        <v/>
      </c>
      <c r="G10" s="8" t="inlineStr"/>
      <c r="H10" s="8" t="inlineStr">
        <is>
          <t>基础设施</t>
        </is>
      </c>
    </row>
    <row r="11">
      <c r="A11" s="16" t="inlineStr">
        <is>
          <t>1.1.5</t>
        </is>
      </c>
      <c r="B11" s="8" t="inlineStr">
        <is>
          <t>智慧公园系统</t>
        </is>
      </c>
      <c r="C11" s="33" t="n">
        <v>1</v>
      </c>
      <c r="D11" s="16" t="inlineStr">
        <is>
          <t>项</t>
        </is>
      </c>
      <c r="E11" s="34" t="n">
        <v>350000</v>
      </c>
      <c r="F11" s="35">
        <f>C11*E11/10000</f>
        <v/>
      </c>
      <c r="G11" s="8" t="inlineStr"/>
      <c r="H11" s="8" t="inlineStr">
        <is>
          <t>基础设施</t>
        </is>
      </c>
    </row>
    <row r="12">
      <c r="A12" s="16" t="inlineStr">
        <is>
          <t>1.1.6</t>
        </is>
      </c>
      <c r="B12" s="8" t="inlineStr">
        <is>
          <t>零碳园区设施改造</t>
        </is>
      </c>
      <c r="C12" s="33" t="n">
        <v>1</v>
      </c>
      <c r="D12" s="16" t="inlineStr">
        <is>
          <t>项</t>
        </is>
      </c>
      <c r="E12" s="34" t="n">
        <v>500000</v>
      </c>
      <c r="F12" s="35">
        <f>C12*E12/10000</f>
        <v/>
      </c>
      <c r="G12" s="8" t="inlineStr"/>
      <c r="H12" s="8" t="inlineStr">
        <is>
          <t>基础设施</t>
        </is>
      </c>
    </row>
    <row r="13">
      <c r="A13" s="16" t="inlineStr">
        <is>
          <t>1.1.7</t>
        </is>
      </c>
      <c r="B13" s="8" t="inlineStr">
        <is>
          <t>园区亮化</t>
        </is>
      </c>
      <c r="C13" s="33" t="n">
        <v>1</v>
      </c>
      <c r="D13" s="16" t="inlineStr">
        <is>
          <t>项</t>
        </is>
      </c>
      <c r="E13" s="34" t="n">
        <v>350000</v>
      </c>
      <c r="F13" s="35">
        <f>C13*E13/10000</f>
        <v/>
      </c>
      <c r="G13" s="8" t="inlineStr"/>
      <c r="H13" s="8" t="inlineStr">
        <is>
          <t>基础设施</t>
        </is>
      </c>
    </row>
    <row r="14">
      <c r="A14" s="16" t="inlineStr">
        <is>
          <t>1.1.8</t>
        </is>
      </c>
      <c r="B14" s="8" t="inlineStr">
        <is>
          <t>观景台改造</t>
        </is>
      </c>
      <c r="C14" s="33" t="n">
        <v>6</v>
      </c>
      <c r="D14" s="16" t="inlineStr">
        <is>
          <t>项</t>
        </is>
      </c>
      <c r="E14" s="34" t="n">
        <v>150000</v>
      </c>
      <c r="F14" s="35">
        <f>C14*E14/10000</f>
        <v/>
      </c>
      <c r="G14" s="8" t="inlineStr"/>
      <c r="H14" s="8" t="inlineStr">
        <is>
          <t>基础设施</t>
        </is>
      </c>
    </row>
    <row r="15">
      <c r="A15" s="16" t="inlineStr">
        <is>
          <t>1.1.9</t>
        </is>
      </c>
      <c r="B15" s="8" t="inlineStr">
        <is>
          <t>山谷栈道</t>
        </is>
      </c>
      <c r="C15" s="33" t="n">
        <v>300</v>
      </c>
      <c r="D15" s="16" t="inlineStr">
        <is>
          <t>米</t>
        </is>
      </c>
      <c r="E15" s="34" t="n">
        <v>4500</v>
      </c>
      <c r="F15" s="35">
        <f>C15*E15/10000</f>
        <v/>
      </c>
      <c r="G15" s="8" t="inlineStr">
        <is>
          <t>含灯光</t>
        </is>
      </c>
      <c r="H15" s="8" t="inlineStr">
        <is>
          <t>基础设施</t>
        </is>
      </c>
    </row>
    <row r="16">
      <c r="A16" s="16" t="inlineStr">
        <is>
          <t>1.1.10</t>
        </is>
      </c>
      <c r="B16" s="8" t="inlineStr">
        <is>
          <t>许愿树</t>
        </is>
      </c>
      <c r="C16" s="33" t="n">
        <v>1</v>
      </c>
      <c r="D16" s="16" t="inlineStr">
        <is>
          <t>项</t>
        </is>
      </c>
      <c r="E16" s="34" t="n">
        <v>300000</v>
      </c>
      <c r="F16" s="35">
        <f>C16*E16/10000</f>
        <v/>
      </c>
      <c r="G16" s="8" t="inlineStr"/>
      <c r="H16" s="8" t="inlineStr">
        <is>
          <t>基础设施</t>
        </is>
      </c>
    </row>
    <row r="17">
      <c r="A17" s="16" t="inlineStr">
        <is>
          <t>1.1.11</t>
        </is>
      </c>
      <c r="B17" s="8" t="inlineStr">
        <is>
          <t>观光车购买</t>
        </is>
      </c>
      <c r="C17" s="33" t="n">
        <v>8</v>
      </c>
      <c r="D17" s="16" t="inlineStr">
        <is>
          <t>辆</t>
        </is>
      </c>
      <c r="E17" s="34" t="n">
        <v>110000</v>
      </c>
      <c r="F17" s="35">
        <f>C17*E17/10000</f>
        <v/>
      </c>
      <c r="G17" s="8" t="inlineStr"/>
      <c r="H17" s="8" t="inlineStr">
        <is>
          <t>基础设施</t>
        </is>
      </c>
    </row>
    <row r="18">
      <c r="A18" s="30" t="inlineStr">
        <is>
          <t>1.2</t>
        </is>
      </c>
      <c r="B18" s="13" t="inlineStr">
        <is>
          <t>超级儿童乐园及配套设施</t>
        </is>
      </c>
      <c r="C18" s="31" t="inlineStr"/>
      <c r="D18" s="31" t="inlineStr"/>
      <c r="E18" s="31" t="inlineStr"/>
      <c r="F18" s="32">
        <f>SUM(F19:F21)</f>
        <v/>
      </c>
      <c r="G18" s="31" t="inlineStr"/>
    </row>
    <row r="19">
      <c r="A19" s="16" t="inlineStr">
        <is>
          <t>1.2.1</t>
        </is>
      </c>
      <c r="B19" s="8" t="inlineStr">
        <is>
          <t>儿童公园IP引入及设施购置</t>
        </is>
      </c>
      <c r="C19" s="33" t="n">
        <v>1</v>
      </c>
      <c r="D19" s="16" t="inlineStr">
        <is>
          <t>项</t>
        </is>
      </c>
      <c r="E19" s="34" t="n">
        <v>7500000</v>
      </c>
      <c r="F19" s="18">
        <f>C19*E19/10000</f>
        <v/>
      </c>
      <c r="G19" s="8" t="inlineStr"/>
      <c r="H19" s="8" t="inlineStr">
        <is>
          <t>超级儿童乐园</t>
        </is>
      </c>
    </row>
    <row r="20">
      <c r="A20" s="16" t="inlineStr">
        <is>
          <t>1.2.2</t>
        </is>
      </c>
      <c r="B20" s="8" t="inlineStr">
        <is>
          <t>儿童公园冬季戏雪换装及设备</t>
        </is>
      </c>
      <c r="C20" s="33" t="n">
        <v>1</v>
      </c>
      <c r="D20" s="16" t="inlineStr">
        <is>
          <t>项</t>
        </is>
      </c>
      <c r="E20" s="34" t="n">
        <v>600000</v>
      </c>
      <c r="F20" s="18">
        <f>C20*E20/10000</f>
        <v/>
      </c>
      <c r="G20" s="8" t="inlineStr"/>
      <c r="H20" s="8" t="inlineStr">
        <is>
          <t>超级儿童乐园</t>
        </is>
      </c>
    </row>
    <row r="21">
      <c r="A21" s="16" t="inlineStr">
        <is>
          <t>1.2.3</t>
        </is>
      </c>
      <c r="B21" s="8" t="inlineStr">
        <is>
          <t>儿童乐园配套设施</t>
        </is>
      </c>
      <c r="C21" s="33" t="n">
        <v>687</v>
      </c>
      <c r="D21" s="16" t="inlineStr">
        <is>
          <t>平方米</t>
        </is>
      </c>
      <c r="E21" s="34" t="n">
        <v>2500</v>
      </c>
      <c r="F21" s="33" t="n">
        <v>160</v>
      </c>
      <c r="G21" s="8" t="inlineStr">
        <is>
          <t>按160万元计</t>
        </is>
      </c>
      <c r="H21" s="8" t="inlineStr">
        <is>
          <t>超级儿童乐园</t>
        </is>
      </c>
    </row>
    <row r="22">
      <c r="A22" s="30" t="inlineStr">
        <is>
          <t>1.3</t>
        </is>
      </c>
      <c r="B22" s="13" t="inlineStr">
        <is>
          <t>青年街区</t>
        </is>
      </c>
      <c r="C22" s="31" t="inlineStr"/>
      <c r="D22" s="31" t="inlineStr"/>
      <c r="E22" s="31" t="inlineStr"/>
      <c r="F22" s="32">
        <f>SUM(F23:F25)</f>
        <v/>
      </c>
      <c r="G22" s="31" t="inlineStr"/>
    </row>
    <row r="23">
      <c r="A23" s="16" t="inlineStr">
        <is>
          <t>1.3.1</t>
        </is>
      </c>
      <c r="B23" s="8" t="inlineStr">
        <is>
          <t>情景造型搭建</t>
        </is>
      </c>
      <c r="C23" s="33" t="n">
        <v>500</v>
      </c>
      <c r="D23" s="16" t="inlineStr">
        <is>
          <t>平方米</t>
        </is>
      </c>
      <c r="E23" s="34" t="n">
        <v>4500</v>
      </c>
      <c r="F23" s="18">
        <f>C23*E23/10000</f>
        <v/>
      </c>
      <c r="G23" s="8" t="inlineStr"/>
      <c r="H23" s="8" t="inlineStr">
        <is>
          <t>青年街区</t>
        </is>
      </c>
    </row>
    <row r="24">
      <c r="A24" s="16" t="inlineStr">
        <is>
          <t>1.3.2</t>
        </is>
      </c>
      <c r="B24" s="8" t="inlineStr">
        <is>
          <t>夜场灯光</t>
        </is>
      </c>
      <c r="C24" s="33" t="n">
        <v>1</v>
      </c>
      <c r="D24" s="16" t="inlineStr">
        <is>
          <t>项</t>
        </is>
      </c>
      <c r="E24" s="34" t="n">
        <v>150000</v>
      </c>
      <c r="F24" s="18">
        <f>C24*E24/10000</f>
        <v/>
      </c>
      <c r="G24" s="8" t="inlineStr"/>
      <c r="H24" s="8" t="inlineStr">
        <is>
          <t>青年街区</t>
        </is>
      </c>
    </row>
    <row r="25">
      <c r="A25" s="16" t="inlineStr">
        <is>
          <t>1.3.3</t>
        </is>
      </c>
      <c r="B25" s="8" t="inlineStr">
        <is>
          <t>配套水电</t>
        </is>
      </c>
      <c r="C25" s="33" t="n">
        <v>1</v>
      </c>
      <c r="D25" s="16" t="inlineStr">
        <is>
          <t>项</t>
        </is>
      </c>
      <c r="E25" s="34" t="n">
        <v>450000</v>
      </c>
      <c r="F25" s="18">
        <f>C25*E25/10000</f>
        <v/>
      </c>
      <c r="G25" s="8" t="inlineStr"/>
      <c r="H25" s="8" t="inlineStr">
        <is>
          <t>青年街区</t>
        </is>
      </c>
    </row>
    <row r="26">
      <c r="A26" s="30" t="inlineStr">
        <is>
          <t>1.4</t>
        </is>
      </c>
      <c r="B26" s="13" t="inlineStr">
        <is>
          <t>动物观赏区改造提升</t>
        </is>
      </c>
      <c r="C26" s="31" t="inlineStr"/>
      <c r="D26" s="31" t="inlineStr"/>
      <c r="E26" s="31" t="inlineStr"/>
      <c r="F26" s="32">
        <f>SUM(F27:F31)</f>
        <v/>
      </c>
      <c r="G26" s="31" t="inlineStr"/>
    </row>
    <row r="27">
      <c r="A27" s="16" t="inlineStr">
        <is>
          <t>1.4.1</t>
        </is>
      </c>
      <c r="B27" s="8" t="inlineStr">
        <is>
          <t>原舍改造</t>
        </is>
      </c>
      <c r="C27" s="33" t="n">
        <v>1</v>
      </c>
      <c r="D27" s="16" t="inlineStr">
        <is>
          <t>项</t>
        </is>
      </c>
      <c r="E27" s="34" t="n">
        <v>0</v>
      </c>
      <c r="F27" s="33" t="n">
        <v>30</v>
      </c>
      <c r="G27" s="8" t="inlineStr">
        <is>
          <t>30万元</t>
        </is>
      </c>
      <c r="H27" s="8" t="inlineStr">
        <is>
          <t>动物观赏区</t>
        </is>
      </c>
    </row>
    <row r="28">
      <c r="A28" s="16" t="inlineStr">
        <is>
          <t>1.4.2</t>
        </is>
      </c>
      <c r="B28" s="8" t="inlineStr">
        <is>
          <t>新增萌宠</t>
        </is>
      </c>
      <c r="C28" s="33" t="n">
        <v>5</v>
      </c>
      <c r="D28" s="16" t="inlineStr">
        <is>
          <t>项</t>
        </is>
      </c>
      <c r="E28" s="34" t="n">
        <v>0</v>
      </c>
      <c r="F28" s="33" t="n">
        <v>35</v>
      </c>
      <c r="G28" s="8" t="inlineStr">
        <is>
          <t>35万元</t>
        </is>
      </c>
      <c r="H28" s="8" t="inlineStr">
        <is>
          <t>动物观赏区</t>
        </is>
      </c>
    </row>
    <row r="29">
      <c r="A29" s="16" t="inlineStr">
        <is>
          <t>1.4.3</t>
        </is>
      </c>
      <c r="B29" s="8" t="inlineStr">
        <is>
          <t>动物互动</t>
        </is>
      </c>
      <c r="C29" s="33" t="n">
        <v>2</v>
      </c>
      <c r="D29" s="16" t="inlineStr">
        <is>
          <t>项</t>
        </is>
      </c>
      <c r="E29" s="34" t="n">
        <v>0</v>
      </c>
      <c r="F29" s="33" t="n">
        <v>35</v>
      </c>
      <c r="G29" s="8" t="inlineStr">
        <is>
          <t>35万元</t>
        </is>
      </c>
      <c r="H29" s="8" t="inlineStr">
        <is>
          <t>动物观赏区</t>
        </is>
      </c>
    </row>
    <row r="30">
      <c r="A30" s="16" t="inlineStr">
        <is>
          <t>1.4.4</t>
        </is>
      </c>
      <c r="B30" s="8" t="inlineStr">
        <is>
          <t>动物零食售卖亭</t>
        </is>
      </c>
      <c r="C30" s="33" t="n">
        <v>1</v>
      </c>
      <c r="D30" s="16" t="inlineStr">
        <is>
          <t>项</t>
        </is>
      </c>
      <c r="E30" s="34" t="n">
        <v>0</v>
      </c>
      <c r="F30" s="33" t="n">
        <v>10</v>
      </c>
      <c r="G30" s="8" t="inlineStr">
        <is>
          <t>10万元</t>
        </is>
      </c>
      <c r="H30" s="8" t="inlineStr">
        <is>
          <t>动物观赏区</t>
        </is>
      </c>
    </row>
    <row r="31">
      <c r="A31" s="16" t="inlineStr">
        <is>
          <t>1.4.5</t>
        </is>
      </c>
      <c r="B31" s="8" t="inlineStr">
        <is>
          <t>动物医院</t>
        </is>
      </c>
      <c r="C31" s="33" t="n">
        <v>1</v>
      </c>
      <c r="D31" s="16" t="inlineStr">
        <is>
          <t>项</t>
        </is>
      </c>
      <c r="E31" s="34" t="n">
        <v>0</v>
      </c>
      <c r="F31" s="33" t="n">
        <v>15</v>
      </c>
      <c r="G31" s="8" t="inlineStr">
        <is>
          <t>15万元</t>
        </is>
      </c>
      <c r="H31" s="8" t="inlineStr">
        <is>
          <t>动物观赏区</t>
        </is>
      </c>
    </row>
    <row r="32">
      <c r="A32" s="30" t="inlineStr">
        <is>
          <t>1.5</t>
        </is>
      </c>
      <c r="B32" s="13" t="inlineStr">
        <is>
          <t>网球场/水塘改造提升</t>
        </is>
      </c>
      <c r="C32" s="31" t="inlineStr"/>
      <c r="D32" s="31" t="inlineStr"/>
      <c r="E32" s="31" t="inlineStr"/>
      <c r="F32" s="32">
        <f>SUM(F33:F36)</f>
        <v/>
      </c>
      <c r="G32" s="31" t="inlineStr"/>
    </row>
    <row r="33">
      <c r="A33" s="16" t="inlineStr">
        <is>
          <t>1.5.1</t>
        </is>
      </c>
      <c r="B33" s="8" t="inlineStr">
        <is>
          <t>玉皇山大马戏</t>
        </is>
      </c>
      <c r="C33" s="33" t="n">
        <v>1000</v>
      </c>
      <c r="D33" s="16" t="inlineStr">
        <is>
          <t>平方米</t>
        </is>
      </c>
      <c r="E33" s="34" t="n">
        <v>1500</v>
      </c>
      <c r="F33" s="18">
        <f>C33*E33/10000</f>
        <v/>
      </c>
      <c r="G33" s="8" t="inlineStr">
        <is>
          <t>原网球场</t>
        </is>
      </c>
      <c r="H33" s="8" t="inlineStr">
        <is>
          <t>网球场/水塘</t>
        </is>
      </c>
    </row>
    <row r="34">
      <c r="A34" s="16" t="inlineStr">
        <is>
          <t>1.5.2</t>
        </is>
      </c>
      <c r="B34" s="8" t="inlineStr">
        <is>
          <t>室内高尔夫</t>
        </is>
      </c>
      <c r="C34" s="33" t="n">
        <v>1</v>
      </c>
      <c r="D34" s="16" t="inlineStr">
        <is>
          <t>项</t>
        </is>
      </c>
      <c r="E34" s="34" t="n">
        <v>450000</v>
      </c>
      <c r="F34" s="18">
        <f>C34*E34/10000</f>
        <v/>
      </c>
      <c r="G34" s="8" t="inlineStr"/>
      <c r="H34" s="8" t="inlineStr">
        <is>
          <t>网球场/水塘</t>
        </is>
      </c>
    </row>
    <row r="35">
      <c r="A35" s="16" t="inlineStr">
        <is>
          <t>1.5.3</t>
        </is>
      </c>
      <c r="B35" s="8" t="inlineStr">
        <is>
          <t>湖畔影院</t>
        </is>
      </c>
      <c r="C35" s="33" t="n">
        <v>500</v>
      </c>
      <c r="D35" s="16" t="inlineStr">
        <is>
          <t>平方米</t>
        </is>
      </c>
      <c r="E35" s="34" t="n">
        <v>3500</v>
      </c>
      <c r="F35" s="18">
        <f>C35*E35/10000</f>
        <v/>
      </c>
      <c r="G35" s="8" t="inlineStr">
        <is>
          <t>水体治理及构筑物</t>
        </is>
      </c>
      <c r="H35" s="8" t="inlineStr">
        <is>
          <t>网球场/水塘</t>
        </is>
      </c>
    </row>
    <row r="36">
      <c r="A36" s="30" t="inlineStr">
        <is>
          <t>1.6</t>
        </is>
      </c>
      <c r="B36" s="13" t="inlineStr">
        <is>
          <t>庙会/市集区改造提升</t>
        </is>
      </c>
      <c r="C36" s="36" t="inlineStr"/>
      <c r="D36" s="31" t="inlineStr"/>
      <c r="E36" s="37" t="inlineStr"/>
      <c r="F36" s="32">
        <f>SUM(F37:F39)</f>
        <v/>
      </c>
      <c r="G36" s="31" t="inlineStr"/>
      <c r="H36" s="8" t="inlineStr">
        <is>
          <t>网球场/水塘</t>
        </is>
      </c>
    </row>
    <row r="37">
      <c r="A37" s="16" t="inlineStr">
        <is>
          <t>1.6.1</t>
        </is>
      </c>
      <c r="B37" s="8" t="inlineStr">
        <is>
          <t>场地整理</t>
        </is>
      </c>
      <c r="C37" s="33" t="n">
        <v>1</v>
      </c>
      <c r="D37" s="16" t="inlineStr">
        <is>
          <t>项</t>
        </is>
      </c>
      <c r="E37" s="34" t="n">
        <v>250000</v>
      </c>
      <c r="F37" s="18">
        <f>C37*E37/10000</f>
        <v/>
      </c>
      <c r="G37" s="8" t="inlineStr"/>
      <c r="H37" s="8" t="inlineStr">
        <is>
          <t>庙会/市集</t>
        </is>
      </c>
    </row>
    <row r="38">
      <c r="A38" s="16" t="inlineStr">
        <is>
          <t>1.6.2</t>
        </is>
      </c>
      <c r="B38" s="8" t="inlineStr">
        <is>
          <t>照明/美陈</t>
        </is>
      </c>
      <c r="C38" s="33" t="n">
        <v>1</v>
      </c>
      <c r="D38" s="16" t="inlineStr">
        <is>
          <t>项</t>
        </is>
      </c>
      <c r="E38" s="34" t="n">
        <v>80000</v>
      </c>
      <c r="F38" s="18">
        <f>C38*E38/10000</f>
        <v/>
      </c>
      <c r="G38" s="8" t="inlineStr"/>
      <c r="H38" s="8" t="inlineStr">
        <is>
          <t>庙会/市集</t>
        </is>
      </c>
    </row>
    <row r="39">
      <c r="A39" s="16" t="inlineStr">
        <is>
          <t>1.6.3</t>
        </is>
      </c>
      <c r="B39" s="8" t="inlineStr">
        <is>
          <t>商亭/摊位</t>
        </is>
      </c>
      <c r="C39" s="33" t="n">
        <v>1</v>
      </c>
      <c r="D39" s="16" t="inlineStr">
        <is>
          <t>项</t>
        </is>
      </c>
      <c r="E39" s="34" t="n">
        <v>450000</v>
      </c>
      <c r="F39" s="18">
        <f>C39*E39/10000</f>
        <v/>
      </c>
      <c r="G39" s="8" t="inlineStr"/>
      <c r="H39" s="8" t="inlineStr">
        <is>
          <t>庙会/市集</t>
        </is>
      </c>
    </row>
    <row r="40">
      <c r="A40" s="30" t="inlineStr">
        <is>
          <t>1.7</t>
        </is>
      </c>
      <c r="B40" s="13" t="inlineStr">
        <is>
          <t>既有房屋改造</t>
        </is>
      </c>
      <c r="C40" s="31" t="inlineStr"/>
      <c r="D40" s="31" t="inlineStr"/>
      <c r="E40" s="31" t="inlineStr"/>
      <c r="F40" s="32">
        <f>SUM(F41:F43)</f>
        <v/>
      </c>
      <c r="G40" s="31" t="inlineStr"/>
    </row>
    <row r="41">
      <c r="A41" s="16" t="inlineStr">
        <is>
          <t>1.7.1</t>
        </is>
      </c>
      <c r="B41" s="8" t="inlineStr">
        <is>
          <t>素食餐厅</t>
        </is>
      </c>
      <c r="C41" s="33" t="n">
        <v>354</v>
      </c>
      <c r="D41" s="16" t="inlineStr">
        <is>
          <t>平方米</t>
        </is>
      </c>
      <c r="E41" s="34" t="n">
        <v>2000</v>
      </c>
      <c r="F41" s="18">
        <f>C41*E41/10000</f>
        <v/>
      </c>
      <c r="G41" s="8" t="inlineStr">
        <is>
          <t>索道房</t>
        </is>
      </c>
      <c r="H41" s="8" t="inlineStr">
        <is>
          <t>既有房屋</t>
        </is>
      </c>
    </row>
    <row r="42">
      <c r="A42" s="16" t="inlineStr">
        <is>
          <t>1.7.2</t>
        </is>
      </c>
      <c r="B42" s="8" t="inlineStr">
        <is>
          <t>森林剧场</t>
        </is>
      </c>
      <c r="C42" s="33" t="n">
        <v>350</v>
      </c>
      <c r="D42" s="16" t="inlineStr">
        <is>
          <t>平方米</t>
        </is>
      </c>
      <c r="E42" s="34" t="n">
        <v>1800</v>
      </c>
      <c r="F42" s="18">
        <f>C42*E42/10000</f>
        <v/>
      </c>
      <c r="G42" s="8" t="inlineStr">
        <is>
          <t>迷宫</t>
        </is>
      </c>
      <c r="H42" s="8" t="inlineStr">
        <is>
          <t>既有房屋</t>
        </is>
      </c>
    </row>
    <row r="43">
      <c r="A43" s="16" t="inlineStr">
        <is>
          <t>1.7.3</t>
        </is>
      </c>
      <c r="B43" s="8" t="inlineStr">
        <is>
          <t>茶屋氧吧</t>
        </is>
      </c>
      <c r="C43" s="33" t="n">
        <v>920</v>
      </c>
      <c r="D43" s="16" t="inlineStr">
        <is>
          <t>平方米</t>
        </is>
      </c>
      <c r="E43" s="34" t="n">
        <v>1500</v>
      </c>
      <c r="F43" s="18">
        <f>C43*E43/10000</f>
        <v/>
      </c>
      <c r="G43" s="8" t="inlineStr">
        <is>
          <t>花窖</t>
        </is>
      </c>
      <c r="H43" s="8" t="inlineStr">
        <is>
          <t>既有房屋</t>
        </is>
      </c>
    </row>
    <row r="44">
      <c r="A44" s="30" t="inlineStr">
        <is>
          <t>1.8</t>
        </is>
      </c>
      <c r="B44" s="13" t="inlineStr">
        <is>
          <t>红色记忆宣传区</t>
        </is>
      </c>
      <c r="C44" s="31" t="inlineStr"/>
      <c r="D44" s="31" t="inlineStr"/>
      <c r="E44" s="31" t="inlineStr"/>
      <c r="F44" s="32">
        <f>SUM(F45:F47)</f>
        <v/>
      </c>
      <c r="G44" s="31" t="inlineStr"/>
    </row>
    <row r="45">
      <c r="A45" s="16" t="inlineStr">
        <is>
          <t>1.8.1</t>
        </is>
      </c>
      <c r="B45" s="8" t="inlineStr">
        <is>
          <t>研学展馆临建</t>
        </is>
      </c>
      <c r="C45" s="33" t="n">
        <v>1</v>
      </c>
      <c r="D45" s="16" t="inlineStr">
        <is>
          <t>项</t>
        </is>
      </c>
      <c r="E45" s="34" t="n">
        <v>650000</v>
      </c>
      <c r="F45" s="18">
        <f>C45*E45/10000</f>
        <v/>
      </c>
      <c r="G45" s="8" t="inlineStr">
        <is>
          <t>VR大空间</t>
        </is>
      </c>
      <c r="H45" s="8" t="inlineStr">
        <is>
          <t>红色记忆</t>
        </is>
      </c>
    </row>
    <row r="46">
      <c r="A46" s="16" t="inlineStr">
        <is>
          <t>1.8.2</t>
        </is>
      </c>
      <c r="B46" s="8" t="inlineStr">
        <is>
          <t>冬季抗联体验</t>
        </is>
      </c>
      <c r="C46" s="33" t="n">
        <v>1</v>
      </c>
      <c r="D46" s="16" t="inlineStr">
        <is>
          <t>项</t>
        </is>
      </c>
      <c r="E46" s="34" t="n">
        <v>250000</v>
      </c>
      <c r="F46" s="18">
        <f>C46*E46/10000</f>
        <v/>
      </c>
      <c r="G46" s="8" t="inlineStr"/>
      <c r="H46" s="8" t="inlineStr">
        <is>
          <t>红色记忆</t>
        </is>
      </c>
    </row>
    <row r="47">
      <c r="A47" s="16" t="inlineStr">
        <is>
          <t>1.8.3</t>
        </is>
      </c>
      <c r="B47" s="8" t="inlineStr">
        <is>
          <t>林学科普及衍生品</t>
        </is>
      </c>
      <c r="C47" s="33" t="n">
        <v>1</v>
      </c>
      <c r="D47" s="16" t="inlineStr">
        <is>
          <t>项</t>
        </is>
      </c>
      <c r="E47" s="34" t="n">
        <v>350000</v>
      </c>
      <c r="F47" s="18">
        <f>C47*E47/10000</f>
        <v/>
      </c>
      <c r="G47" s="8" t="inlineStr"/>
      <c r="H47" s="8" t="inlineStr">
        <is>
          <t>红色记忆</t>
        </is>
      </c>
    </row>
    <row r="48">
      <c r="A48" s="30" t="inlineStr">
        <is>
          <t>1.9</t>
        </is>
      </c>
      <c r="B48" s="13" t="inlineStr">
        <is>
          <t>花海/露营区/低碳林改造</t>
        </is>
      </c>
      <c r="C48" s="31" t="inlineStr"/>
      <c r="D48" s="31" t="inlineStr"/>
      <c r="E48" s="31" t="inlineStr"/>
      <c r="F48" s="32">
        <f>SUM(F49:F58)</f>
        <v/>
      </c>
      <c r="G48" s="31" t="inlineStr"/>
    </row>
    <row r="49">
      <c r="A49" s="16" t="inlineStr">
        <is>
          <t>1.9.1</t>
        </is>
      </c>
      <c r="B49" s="8" t="inlineStr">
        <is>
          <t>山洞酒庄</t>
        </is>
      </c>
      <c r="C49" s="33" t="n">
        <v>1</v>
      </c>
      <c r="D49" s="16" t="inlineStr">
        <is>
          <t>项</t>
        </is>
      </c>
      <c r="E49" s="34" t="n">
        <v>150000</v>
      </c>
      <c r="F49" s="18">
        <f>C49*E49/10000</f>
        <v/>
      </c>
      <c r="G49" s="8" t="inlineStr">
        <is>
          <t>防空洞</t>
        </is>
      </c>
      <c r="H49" s="8" t="inlineStr">
        <is>
          <t>花海/露营/低碳林</t>
        </is>
      </c>
    </row>
    <row r="50">
      <c r="A50" s="16" t="inlineStr">
        <is>
          <t>1.9.2</t>
        </is>
      </c>
      <c r="B50" s="8" t="inlineStr">
        <is>
          <t>婚礼花园</t>
        </is>
      </c>
      <c r="C50" s="33" t="n">
        <v>1</v>
      </c>
      <c r="D50" s="16" t="inlineStr">
        <is>
          <t>项</t>
        </is>
      </c>
      <c r="E50" s="34" t="n">
        <v>350000</v>
      </c>
      <c r="F50" s="18">
        <f>C50*E50/10000</f>
        <v/>
      </c>
      <c r="G50" s="8" t="inlineStr"/>
      <c r="H50" s="8" t="inlineStr">
        <is>
          <t>花海/露营/低碳林</t>
        </is>
      </c>
    </row>
    <row r="51">
      <c r="A51" s="16" t="inlineStr">
        <is>
          <t>1.9.3</t>
        </is>
      </c>
      <c r="B51" s="8" t="inlineStr">
        <is>
          <t>林地树屋</t>
        </is>
      </c>
      <c r="C51" s="33" t="n">
        <v>1</v>
      </c>
      <c r="D51" s="16" t="inlineStr">
        <is>
          <t>项</t>
        </is>
      </c>
      <c r="E51" s="34" t="n">
        <v>400000</v>
      </c>
      <c r="F51" s="18">
        <f>C51*E51/10000</f>
        <v/>
      </c>
      <c r="G51" s="8" t="inlineStr"/>
      <c r="H51" s="8" t="inlineStr">
        <is>
          <t>花海/露营/低碳林</t>
        </is>
      </c>
    </row>
    <row r="52">
      <c r="A52" s="16" t="inlineStr">
        <is>
          <t>1.9.4</t>
        </is>
      </c>
      <c r="B52" s="8" t="inlineStr">
        <is>
          <t>禅修道苑</t>
        </is>
      </c>
      <c r="C52" s="33" t="n">
        <v>1</v>
      </c>
      <c r="D52" s="16" t="inlineStr">
        <is>
          <t>项</t>
        </is>
      </c>
      <c r="E52" s="34" t="n">
        <v>180000</v>
      </c>
      <c r="F52" s="18">
        <f>C52*E52/10000</f>
        <v/>
      </c>
      <c r="G52" s="8" t="inlineStr"/>
      <c r="H52" s="8" t="inlineStr">
        <is>
          <t>花海/露营/低碳林</t>
        </is>
      </c>
    </row>
    <row r="53">
      <c r="A53" s="16" t="inlineStr">
        <is>
          <t>1.9.5</t>
        </is>
      </c>
      <c r="B53" s="8" t="inlineStr">
        <is>
          <t>雪地冰屋</t>
        </is>
      </c>
      <c r="C53" s="33" t="n">
        <v>1</v>
      </c>
      <c r="D53" s="16" t="inlineStr">
        <is>
          <t>项</t>
        </is>
      </c>
      <c r="E53" s="34" t="n">
        <v>200000</v>
      </c>
      <c r="F53" s="18">
        <f>C53*E53/10000</f>
        <v/>
      </c>
      <c r="G53" s="8" t="inlineStr"/>
      <c r="H53" s="8" t="inlineStr">
        <is>
          <t>花海/露营/低碳林</t>
        </is>
      </c>
    </row>
    <row r="54">
      <c r="A54" s="16" t="inlineStr">
        <is>
          <t>1.9.6</t>
        </is>
      </c>
      <c r="B54" s="8" t="inlineStr">
        <is>
          <t>悬崖咖啡</t>
        </is>
      </c>
      <c r="C54" s="33" t="n">
        <v>1</v>
      </c>
      <c r="D54" s="16" t="inlineStr">
        <is>
          <t>项</t>
        </is>
      </c>
      <c r="E54" s="34" t="n">
        <v>3000000</v>
      </c>
      <c r="F54" s="18">
        <f>C54*E54/10000</f>
        <v/>
      </c>
      <c r="G54" s="8" t="inlineStr"/>
      <c r="H54" s="8" t="inlineStr">
        <is>
          <t>花海/露营/低碳林</t>
        </is>
      </c>
    </row>
    <row r="55">
      <c r="A55" s="16" t="inlineStr">
        <is>
          <t>1.9.7</t>
        </is>
      </c>
      <c r="B55" s="8" t="inlineStr">
        <is>
          <t>低碳林</t>
        </is>
      </c>
      <c r="C55" s="33" t="n">
        <v>1</v>
      </c>
      <c r="D55" s="16" t="inlineStr">
        <is>
          <t>项</t>
        </is>
      </c>
      <c r="E55" s="34" t="n">
        <v>450000</v>
      </c>
      <c r="F55" s="18">
        <f>C55*E55/10000</f>
        <v/>
      </c>
      <c r="G55" s="8" t="inlineStr"/>
      <c r="H55" s="8" t="inlineStr">
        <is>
          <t>花海/露营/低碳林</t>
        </is>
      </c>
    </row>
    <row r="56">
      <c r="A56" s="16" t="inlineStr">
        <is>
          <t>1.9.8</t>
        </is>
      </c>
      <c r="B56" s="8" t="inlineStr">
        <is>
          <t>星空露营区</t>
        </is>
      </c>
      <c r="C56" s="33" t="n">
        <v>1</v>
      </c>
      <c r="D56" s="16" t="inlineStr">
        <is>
          <t>项</t>
        </is>
      </c>
      <c r="E56" s="34" t="n">
        <v>300000</v>
      </c>
      <c r="F56" s="18">
        <f>C56*E56/10000</f>
        <v/>
      </c>
      <c r="G56" s="8" t="inlineStr"/>
      <c r="H56" s="8" t="inlineStr">
        <is>
          <t>花海/露营/低碳林</t>
        </is>
      </c>
    </row>
    <row r="57">
      <c r="A57" s="16" t="inlineStr">
        <is>
          <t>1.9.9</t>
        </is>
      </c>
      <c r="B57" s="8" t="inlineStr">
        <is>
          <t>花海</t>
        </is>
      </c>
      <c r="C57" s="33" t="n">
        <v>1</v>
      </c>
      <c r="D57" s="16" t="inlineStr">
        <is>
          <t>项</t>
        </is>
      </c>
      <c r="E57" s="34" t="n">
        <v>150000</v>
      </c>
      <c r="F57" s="18">
        <f>C57*E57/10000</f>
        <v/>
      </c>
      <c r="G57" s="8" t="inlineStr"/>
      <c r="H57" s="8" t="inlineStr">
        <is>
          <t>花海/露营/低碳林</t>
        </is>
      </c>
    </row>
    <row r="58">
      <c r="A58" s="16" t="inlineStr">
        <is>
          <t>1.9.10</t>
        </is>
      </c>
      <c r="B58" s="8" t="inlineStr">
        <is>
          <t>林间小品</t>
        </is>
      </c>
      <c r="C58" s="33" t="n">
        <v>1</v>
      </c>
      <c r="D58" s="16" t="inlineStr">
        <is>
          <t>项</t>
        </is>
      </c>
      <c r="E58" s="34" t="n">
        <v>250000</v>
      </c>
      <c r="F58" s="18">
        <f>C58*E58/10000</f>
        <v/>
      </c>
      <c r="G58" s="8" t="inlineStr"/>
      <c r="H58" s="8" t="inlineStr">
        <is>
          <t>花海/露营/低碳林</t>
        </is>
      </c>
    </row>
    <row r="59">
      <c r="A59" s="38" t="inlineStr">
        <is>
          <t>二</t>
        </is>
      </c>
      <c r="B59" s="39" t="inlineStr">
        <is>
          <t>二类费用（一）×9.5%（咨询、勘察设计、监理、保险、场地准备、检测）</t>
        </is>
      </c>
      <c r="C59" s="5" t="n"/>
      <c r="D59" s="5" t="n"/>
      <c r="E59" s="6" t="n"/>
      <c r="F59" s="40">
        <f>F5*0.095</f>
        <v/>
      </c>
      <c r="G59" s="8" t="inlineStr">
        <is>
          <t>费率可调见右侧</t>
        </is>
      </c>
      <c r="H59" s="41" t="n">
        <v>0.095</v>
      </c>
    </row>
    <row r="60">
      <c r="A60" s="38" t="inlineStr">
        <is>
          <t>三</t>
        </is>
      </c>
      <c r="B60" s="39" t="inlineStr">
        <is>
          <t>不可预见费（（一）+（二））×5%</t>
        </is>
      </c>
      <c r="C60" s="5" t="n"/>
      <c r="D60" s="5" t="n"/>
      <c r="E60" s="6" t="n"/>
      <c r="F60" s="40">
        <f>(F5+F59)*0.05</f>
        <v/>
      </c>
      <c r="H60" s="41" t="n">
        <v>0.05</v>
      </c>
    </row>
    <row r="61">
      <c r="A61" s="28" t="inlineStr">
        <is>
          <t>四</t>
        </is>
      </c>
      <c r="B61" s="7" t="inlineStr">
        <is>
          <t>建设投资</t>
        </is>
      </c>
      <c r="C61" s="5" t="n"/>
      <c r="D61" s="5" t="n"/>
      <c r="E61" s="6" t="n"/>
      <c r="F61" s="20">
        <f>F5+F59+F60</f>
        <v/>
      </c>
    </row>
    <row r="62">
      <c r="A62" s="38" t="inlineStr">
        <is>
          <t>五</t>
        </is>
      </c>
      <c r="B62" s="39" t="inlineStr">
        <is>
          <t>建设期利息＝建设投资×贷款比例×利率×2年（建设期只还息）</t>
        </is>
      </c>
      <c r="C62" s="5" t="n"/>
      <c r="D62" s="5" t="n"/>
      <c r="E62" s="6" t="n"/>
      <c r="F62" s="40">
        <f>F61*H62*H63*2</f>
        <v/>
      </c>
      <c r="G62" s="8" t="inlineStr">
        <is>
          <t>贷款比例</t>
        </is>
      </c>
      <c r="H62" s="41" t="n">
        <v>0.8</v>
      </c>
    </row>
    <row r="63">
      <c r="A63" s="38" t="inlineStr">
        <is>
          <t>六</t>
        </is>
      </c>
      <c r="B63" s="39" t="inlineStr">
        <is>
          <t>建设期管理费</t>
        </is>
      </c>
      <c r="C63" s="42" t="n">
        <v>1</v>
      </c>
      <c r="D63" s="16" t="inlineStr">
        <is>
          <t>项</t>
        </is>
      </c>
      <c r="F63" s="40" t="n">
        <v>300</v>
      </c>
      <c r="G63" s="8" t="inlineStr">
        <is>
          <t>贷款利率</t>
        </is>
      </c>
      <c r="H63" s="43" t="n">
        <v>0.048</v>
      </c>
    </row>
    <row r="64">
      <c r="A64" s="44" t="inlineStr">
        <is>
          <t>七</t>
        </is>
      </c>
      <c r="B64" s="23" t="inlineStr">
        <is>
          <t>总投资（回收期基准）</t>
        </is>
      </c>
      <c r="C64" s="5" t="n"/>
      <c r="D64" s="5" t="n"/>
      <c r="E64" s="6" t="n"/>
      <c r="F64" s="45">
        <f>SUM(F61:F63)</f>
        <v/>
      </c>
      <c r="G64" s="27" t="inlineStr">
        <is>
          <t>不含经营权拍卖价款</t>
        </is>
      </c>
    </row>
    <row r="65">
      <c r="A65" s="30" t="inlineStr">
        <is>
          <t>八</t>
        </is>
      </c>
      <c r="B65" s="13" t="inlineStr">
        <is>
          <t>建设期贷款本金（经营期还本基数）</t>
        </is>
      </c>
      <c r="C65" s="5" t="n"/>
      <c r="D65" s="5" t="n"/>
      <c r="E65" s="6" t="n"/>
      <c r="F65" s="15">
        <f>F61*H62</f>
        <v/>
      </c>
    </row>
    <row r="67" ht="20" customHeight="1">
      <c r="A67" s="46" t="inlineStr">
        <is>
          <t>说明：所有建设项目均不占用林地，均以构筑物形态利用林间空地和树冠下方空间。</t>
        </is>
      </c>
    </row>
    <row r="68" ht="20" customHeight="1">
      <c r="A68" s="46" t="inlineStr">
        <is>
          <t>配套用房均按临建，水电就近接入。北入口停车场及游客中心因土地与动迁未定，本次改造暂不统计。</t>
        </is>
      </c>
    </row>
    <row r="69" ht="20" customHeight="1">
      <c r="A69" s="46" t="inlineStr">
        <is>
          <t>建设期暂定二年只偿还利息；总投资中建设投资的80%为贷款，利率暂按4.8%。经营权拍卖款不纳入本回收模型。</t>
        </is>
      </c>
    </row>
    <row r="70" ht="20" customHeight="1">
      <c r="A70" s="46" t="inlineStr">
        <is>
          <t>分年投入：建设投资、建设期利息、管理费按第1–2年各50%支付。</t>
        </is>
      </c>
    </row>
  </sheetData>
  <autoFilter ref="A4:H58"/>
  <mergeCells count="12">
    <mergeCell ref="A70:H70"/>
    <mergeCell ref="A67:H67"/>
    <mergeCell ref="B61:E61"/>
    <mergeCell ref="A69:H69"/>
    <mergeCell ref="B65:E65"/>
    <mergeCell ref="A2:H2"/>
    <mergeCell ref="B62:E62"/>
    <mergeCell ref="B64:E64"/>
    <mergeCell ref="A68:H68"/>
    <mergeCell ref="B59:E59"/>
    <mergeCell ref="A1:H1"/>
    <mergeCell ref="B60:E6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D3557"/>
    <outlinePr summaryBelow="1" summaryRight="1"/>
    <pageSetUpPr fitToPage="1"/>
  </sheetPr>
  <dimension ref="A1:T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8" customWidth="1" min="20" max="20"/>
  </cols>
  <sheetData>
    <row r="1" ht="28" customHeight="1">
      <c r="A1" s="1" t="inlineStr">
        <is>
          <t>表6 人流转化目标模型（项目年对齐）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3">
      <c r="A3" s="31" t="inlineStr">
        <is>
          <t>建设期占用第1–2年（人流为0）；第3年对齐原表「3年」75万人/转化85%/客单150元；第4–18年对齐「4~18年保底」80万人。原表1–2年50万/60万仅作对照，不在建设期重复计入。</t>
        </is>
      </c>
    </row>
    <row r="5">
      <c r="A5" s="4" t="inlineStr">
        <is>
          <t>指标</t>
        </is>
      </c>
      <c r="B5" s="4" t="inlineStr">
        <is>
          <t>第1年</t>
        </is>
      </c>
      <c r="C5" s="4" t="inlineStr">
        <is>
          <t>第2年</t>
        </is>
      </c>
      <c r="D5" s="4" t="inlineStr">
        <is>
          <t>第3年</t>
        </is>
      </c>
      <c r="E5" s="4" t="inlineStr">
        <is>
          <t>第4年</t>
        </is>
      </c>
      <c r="F5" s="4" t="inlineStr">
        <is>
          <t>第5年</t>
        </is>
      </c>
      <c r="G5" s="4" t="inlineStr">
        <is>
          <t>第6年</t>
        </is>
      </c>
      <c r="H5" s="4" t="inlineStr">
        <is>
          <t>第7年</t>
        </is>
      </c>
      <c r="I5" s="4" t="inlineStr">
        <is>
          <t>第8年</t>
        </is>
      </c>
      <c r="J5" s="4" t="inlineStr">
        <is>
          <t>第9年</t>
        </is>
      </c>
      <c r="K5" s="4" t="inlineStr">
        <is>
          <t>第10年</t>
        </is>
      </c>
      <c r="L5" s="4" t="inlineStr">
        <is>
          <t>第11年</t>
        </is>
      </c>
      <c r="M5" s="4" t="inlineStr">
        <is>
          <t>第12年</t>
        </is>
      </c>
      <c r="N5" s="4" t="inlineStr">
        <is>
          <t>第13年</t>
        </is>
      </c>
      <c r="O5" s="4" t="inlineStr">
        <is>
          <t>第14年</t>
        </is>
      </c>
      <c r="P5" s="4" t="inlineStr">
        <is>
          <t>第15年</t>
        </is>
      </c>
      <c r="Q5" s="4" t="inlineStr">
        <is>
          <t>第16年</t>
        </is>
      </c>
      <c r="R5" s="4" t="inlineStr">
        <is>
          <t>第17年</t>
        </is>
      </c>
      <c r="S5" s="4" t="inlineStr">
        <is>
          <t>第18年</t>
        </is>
      </c>
      <c r="T5" s="4" t="inlineStr">
        <is>
          <t>说明</t>
        </is>
      </c>
    </row>
    <row r="6">
      <c r="A6" s="11" t="inlineStr">
        <is>
          <t>入园人次（万人）</t>
        </is>
      </c>
      <c r="B6" s="47" t="n">
        <v>0</v>
      </c>
      <c r="C6" s="47" t="n">
        <v>0</v>
      </c>
      <c r="D6" s="47" t="n">
        <v>75</v>
      </c>
      <c r="E6" s="47" t="n">
        <v>80</v>
      </c>
      <c r="F6" s="47" t="n">
        <v>80</v>
      </c>
      <c r="G6" s="47" t="n">
        <v>80</v>
      </c>
      <c r="H6" s="47" t="n">
        <v>80</v>
      </c>
      <c r="I6" s="47" t="n">
        <v>80</v>
      </c>
      <c r="J6" s="47" t="n">
        <v>80</v>
      </c>
      <c r="K6" s="47" t="n">
        <v>80</v>
      </c>
      <c r="L6" s="47" t="n">
        <v>80</v>
      </c>
      <c r="M6" s="47" t="n">
        <v>80</v>
      </c>
      <c r="N6" s="47" t="n">
        <v>80</v>
      </c>
      <c r="O6" s="47" t="n">
        <v>80</v>
      </c>
      <c r="P6" s="47" t="n">
        <v>80</v>
      </c>
      <c r="Q6" s="47" t="n">
        <v>80</v>
      </c>
      <c r="R6" s="47" t="n">
        <v>80</v>
      </c>
      <c r="S6" s="47" t="n">
        <v>80</v>
      </c>
      <c r="T6" s="8" t="inlineStr">
        <is>
          <t>黄色可调；建设期保持0</t>
        </is>
      </c>
    </row>
    <row r="7">
      <c r="A7" s="11" t="inlineStr">
        <is>
          <t>付费转化率</t>
        </is>
      </c>
      <c r="B7" s="41" t="n">
        <v>0</v>
      </c>
      <c r="C7" s="41" t="n">
        <v>0</v>
      </c>
      <c r="D7" s="41" t="n">
        <v>0.85</v>
      </c>
      <c r="E7" s="41" t="n">
        <v>0.85</v>
      </c>
      <c r="F7" s="41" t="n">
        <v>0.85</v>
      </c>
      <c r="G7" s="41" t="n">
        <v>0.85</v>
      </c>
      <c r="H7" s="41" t="n">
        <v>0.85</v>
      </c>
      <c r="I7" s="41" t="n">
        <v>0.85</v>
      </c>
      <c r="J7" s="41" t="n">
        <v>0.85</v>
      </c>
      <c r="K7" s="41" t="n">
        <v>0.85</v>
      </c>
      <c r="L7" s="41" t="n">
        <v>0.85</v>
      </c>
      <c r="M7" s="41" t="n">
        <v>0.85</v>
      </c>
      <c r="N7" s="41" t="n">
        <v>0.85</v>
      </c>
      <c r="O7" s="41" t="n">
        <v>0.85</v>
      </c>
      <c r="P7" s="41" t="n">
        <v>0.85</v>
      </c>
      <c r="Q7" s="41" t="n">
        <v>0.85</v>
      </c>
      <c r="R7" s="41" t="n">
        <v>0.85</v>
      </c>
      <c r="S7" s="41" t="n">
        <v>0.85</v>
      </c>
      <c r="T7" s="8" t="inlineStr">
        <is>
          <t>表6：50%/60%/85%/85%</t>
        </is>
      </c>
    </row>
    <row r="8">
      <c r="A8" s="11" t="inlineStr">
        <is>
          <t>游客客单价（元）</t>
        </is>
      </c>
      <c r="B8" s="42" t="n">
        <v>0</v>
      </c>
      <c r="C8" s="42" t="n">
        <v>0</v>
      </c>
      <c r="D8" s="42" t="n">
        <v>150</v>
      </c>
      <c r="E8" s="42" t="n">
        <v>150</v>
      </c>
      <c r="F8" s="42" t="n">
        <v>150</v>
      </c>
      <c r="G8" s="42" t="n">
        <v>150</v>
      </c>
      <c r="H8" s="42" t="n">
        <v>150</v>
      </c>
      <c r="I8" s="42" t="n">
        <v>150</v>
      </c>
      <c r="J8" s="42" t="n">
        <v>150</v>
      </c>
      <c r="K8" s="42" t="n">
        <v>150</v>
      </c>
      <c r="L8" s="42" t="n">
        <v>150</v>
      </c>
      <c r="M8" s="42" t="n">
        <v>150</v>
      </c>
      <c r="N8" s="42" t="n">
        <v>150</v>
      </c>
      <c r="O8" s="42" t="n">
        <v>150</v>
      </c>
      <c r="P8" s="42" t="n">
        <v>150</v>
      </c>
      <c r="Q8" s="42" t="n">
        <v>150</v>
      </c>
      <c r="R8" s="42" t="n">
        <v>150</v>
      </c>
      <c r="S8" s="42" t="n">
        <v>150</v>
      </c>
      <c r="T8" s="8" t="inlineStr">
        <is>
          <t>游客端花费，含联营方留存</t>
        </is>
      </c>
    </row>
    <row r="9">
      <c r="A9" s="13" t="inlineStr">
        <is>
          <t>游客消费总额（万元）</t>
        </is>
      </c>
      <c r="B9" s="48">
        <f>B6*B7*B8</f>
        <v/>
      </c>
      <c r="C9" s="48">
        <f>C6*C7*C8</f>
        <v/>
      </c>
      <c r="D9" s="48">
        <f>D6*D7*D8</f>
        <v/>
      </c>
      <c r="E9" s="48">
        <f>E6*E7*E8</f>
        <v/>
      </c>
      <c r="F9" s="48">
        <f>F6*F7*F8</f>
        <v/>
      </c>
      <c r="G9" s="48">
        <f>G6*G7*G8</f>
        <v/>
      </c>
      <c r="H9" s="48">
        <f>H6*H7*H8</f>
        <v/>
      </c>
      <c r="I9" s="48">
        <f>I6*I7*I8</f>
        <v/>
      </c>
      <c r="J9" s="48">
        <f>J6*J7*J8</f>
        <v/>
      </c>
      <c r="K9" s="48">
        <f>K6*K7*K8</f>
        <v/>
      </c>
      <c r="L9" s="48">
        <f>L6*L7*L8</f>
        <v/>
      </c>
      <c r="M9" s="48">
        <f>M6*M7*M8</f>
        <v/>
      </c>
      <c r="N9" s="48">
        <f>N6*N7*N8</f>
        <v/>
      </c>
      <c r="O9" s="48">
        <f>O6*O7*O8</f>
        <v/>
      </c>
      <c r="P9" s="48">
        <f>P6*P7*P8</f>
        <v/>
      </c>
      <c r="Q9" s="48">
        <f>Q6*Q7*Q8</f>
        <v/>
      </c>
      <c r="R9" s="48">
        <f>R6*R7*R8</f>
        <v/>
      </c>
      <c r="S9" s="48">
        <f>S6*S7*S8</f>
        <v/>
      </c>
      <c r="T9" s="31" t="inlineStr">
        <is>
          <t>人流×转化×客单，作收入上限校验</t>
        </is>
      </c>
    </row>
    <row r="10">
      <c r="A10" s="11" t="inlineStr">
        <is>
          <t>阶段</t>
        </is>
      </c>
      <c r="B10" s="49" t="inlineStr">
        <is>
          <t>建设期</t>
        </is>
      </c>
      <c r="C10" s="49" t="inlineStr">
        <is>
          <t>建设期</t>
        </is>
      </c>
      <c r="D10" s="50" t="inlineStr">
        <is>
          <t>开业达产</t>
        </is>
      </c>
      <c r="E10" s="50" t="inlineStr">
        <is>
          <t>稳定保底</t>
        </is>
      </c>
      <c r="F10" s="50" t="inlineStr">
        <is>
          <t>稳定保底</t>
        </is>
      </c>
      <c r="G10" s="50" t="inlineStr">
        <is>
          <t>稳定保底</t>
        </is>
      </c>
      <c r="H10" s="50" t="inlineStr">
        <is>
          <t>稳定保底</t>
        </is>
      </c>
      <c r="I10" s="50" t="inlineStr">
        <is>
          <t>稳定保底</t>
        </is>
      </c>
      <c r="J10" s="50" t="inlineStr">
        <is>
          <t>稳定保底</t>
        </is>
      </c>
      <c r="K10" s="50" t="inlineStr">
        <is>
          <t>稳定保底</t>
        </is>
      </c>
      <c r="L10" s="50" t="inlineStr">
        <is>
          <t>稳定保底</t>
        </is>
      </c>
      <c r="M10" s="50" t="inlineStr">
        <is>
          <t>稳定保底</t>
        </is>
      </c>
      <c r="N10" s="50" t="inlineStr">
        <is>
          <t>稳定保底</t>
        </is>
      </c>
      <c r="O10" s="50" t="inlineStr">
        <is>
          <t>稳定保底</t>
        </is>
      </c>
      <c r="P10" s="50" t="inlineStr">
        <is>
          <t>稳定保底</t>
        </is>
      </c>
      <c r="Q10" s="50" t="inlineStr">
        <is>
          <t>稳定保底</t>
        </is>
      </c>
      <c r="R10" s="50" t="inlineStr">
        <is>
          <t>稳定保底</t>
        </is>
      </c>
      <c r="S10" s="50" t="inlineStr">
        <is>
          <t>稳定保底</t>
        </is>
      </c>
    </row>
    <row r="12">
      <c r="A12" s="51" t="inlineStr">
        <is>
          <t>原表6四档对照（不参与18年滚动，仅备查）</t>
        </is>
      </c>
    </row>
    <row r="13">
      <c r="A13" s="10" t="inlineStr">
        <is>
          <t>档位</t>
        </is>
      </c>
      <c r="B13" s="10" t="inlineStr">
        <is>
          <t>入园人次（万人）</t>
        </is>
      </c>
      <c r="C13" s="10" t="inlineStr">
        <is>
          <t>付费转化率</t>
        </is>
      </c>
      <c r="D13" s="10" t="inlineStr">
        <is>
          <t>客单价（元）</t>
        </is>
      </c>
      <c r="E13" s="10" t="inlineStr">
        <is>
          <t>游客消费（万元）</t>
        </is>
      </c>
      <c r="F13" s="10" t="inlineStr">
        <is>
          <t>对应本模型</t>
        </is>
      </c>
    </row>
    <row r="14">
      <c r="A14" s="11" t="inlineStr">
        <is>
          <t>1年</t>
        </is>
      </c>
      <c r="B14" s="52" t="n">
        <v>50</v>
      </c>
      <c r="C14" s="53" t="n">
        <v>0.5</v>
      </c>
      <c r="D14" s="54" t="n">
        <v>80</v>
      </c>
      <c r="E14" s="55">
        <f>B14*C14*D14</f>
        <v/>
      </c>
      <c r="F14" s="8" t="inlineStr">
        <is>
          <t>建设期对照</t>
        </is>
      </c>
    </row>
    <row r="15">
      <c r="A15" s="11" t="inlineStr">
        <is>
          <t>2年</t>
        </is>
      </c>
      <c r="B15" s="52" t="n">
        <v>60</v>
      </c>
      <c r="C15" s="53" t="n">
        <v>0.6</v>
      </c>
      <c r="D15" s="54" t="n">
        <v>120</v>
      </c>
      <c r="E15" s="55">
        <f>B15*C15*D15</f>
        <v/>
      </c>
      <c r="F15" s="8" t="inlineStr">
        <is>
          <t>建设期对照</t>
        </is>
      </c>
    </row>
    <row r="16">
      <c r="A16" s="11" t="inlineStr">
        <is>
          <t>3年</t>
        </is>
      </c>
      <c r="B16" s="52" t="n">
        <v>75</v>
      </c>
      <c r="C16" s="53" t="n">
        <v>0.85</v>
      </c>
      <c r="D16" s="54" t="n">
        <v>150</v>
      </c>
      <c r="E16" s="55">
        <f>B16*C16*D16</f>
        <v/>
      </c>
      <c r="F16" s="8" t="inlineStr">
        <is>
          <t>→第3年达产</t>
        </is>
      </c>
    </row>
    <row r="17">
      <c r="A17" s="11" t="inlineStr">
        <is>
          <t>4~18年</t>
        </is>
      </c>
      <c r="B17" s="52" t="n">
        <v>80</v>
      </c>
      <c r="C17" s="53" t="n">
        <v>0.85</v>
      </c>
      <c r="D17" s="54" t="n">
        <v>150</v>
      </c>
      <c r="E17" s="55">
        <f>B17*C17*D17</f>
        <v/>
      </c>
      <c r="F17" s="8" t="inlineStr">
        <is>
          <t>→第4–18年保底</t>
        </is>
      </c>
    </row>
    <row r="19">
      <c r="A19" s="56" t="inlineStr">
        <is>
          <t>公园账面收入将低于游客消费总额：联营项目只确认分成，差额为合作方留存，不重复加总。</t>
        </is>
      </c>
    </row>
  </sheetData>
  <mergeCells count="5">
    <mergeCell ref="A1:T1"/>
    <mergeCell ref="A3:T3"/>
    <mergeCell ref="A2:T2"/>
    <mergeCell ref="A12:F12"/>
    <mergeCell ref="A19:T19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V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56" customWidth="1" min="22" max="22"/>
  </cols>
  <sheetData>
    <row r="1" ht="28" customHeight="1">
      <c r="A1" s="1" t="inlineStr">
        <is>
          <t>业态参数｜联营 / 自营 / 出租 / 品牌加盟成本结构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3">
      <c r="A3" s="57" t="inlineStr">
        <is>
          <t>联营：公园收入=GMV×分成或保底租金，成本仅合同管理/水电分摊（约5–8%），不承担对方人工。自营：全额收入，承担货品、渠道、编制。出租：租金，物业约6–8%。品牌加盟：全额入账，万达门票10%进成本。</t>
        </is>
      </c>
    </row>
    <row r="4">
      <c r="A4" s="4" t="inlineStr">
        <is>
          <t>序号</t>
        </is>
      </c>
      <c r="B4" s="4" t="inlineStr">
        <is>
          <t>经营项目</t>
        </is>
      </c>
      <c r="C4" s="4" t="inlineStr">
        <is>
          <t>业态板块</t>
        </is>
      </c>
      <c r="D4" s="4" t="inlineStr">
        <is>
          <t>经营性质</t>
        </is>
      </c>
      <c r="E4" s="4" t="inlineStr">
        <is>
          <t>驱动</t>
        </is>
      </c>
      <c r="F4" s="4" t="inlineStr">
        <is>
          <t>公园分成</t>
        </is>
      </c>
      <c r="G4" s="4" t="inlineStr">
        <is>
          <t>转化率</t>
        </is>
      </c>
      <c r="H4" s="4" t="inlineStr">
        <is>
          <t>客单/单价</t>
        </is>
      </c>
      <c r="I4" s="4" t="inlineStr">
        <is>
          <t>面积㎡</t>
        </is>
      </c>
      <c r="J4" s="4" t="inlineStr">
        <is>
          <t>日租(元)</t>
        </is>
      </c>
      <c r="K4" s="4" t="inlineStr">
        <is>
          <t>年天数</t>
        </is>
      </c>
      <c r="L4" s="4" t="inlineStr">
        <is>
          <t>出租率</t>
        </is>
      </c>
      <c r="M4" s="4" t="inlineStr">
        <is>
          <t>场次/日</t>
        </is>
      </c>
      <c r="N4" s="4" t="inlineStr">
        <is>
          <t>场次单价(万)</t>
        </is>
      </c>
      <c r="O4" s="4" t="inlineStr">
        <is>
          <t>利用率</t>
        </is>
      </c>
      <c r="P4" s="4" t="inlineStr">
        <is>
          <t>固定(万)</t>
        </is>
      </c>
      <c r="Q4" s="4" t="inlineStr">
        <is>
          <t>货品/直接</t>
        </is>
      </c>
      <c r="R4" s="4" t="inlineStr">
        <is>
          <t>渠道营销</t>
        </is>
      </c>
      <c r="S4" s="4" t="inlineStr">
        <is>
          <t>运营分摊</t>
        </is>
      </c>
      <c r="T4" s="4" t="inlineStr">
        <is>
          <t>编制(人)</t>
        </is>
      </c>
      <c r="U4" s="4" t="inlineStr">
        <is>
          <t>是否填充</t>
        </is>
      </c>
      <c r="V4" s="4" t="inlineStr">
        <is>
          <t>来源与容量说明</t>
        </is>
      </c>
    </row>
    <row r="5" ht="32" customHeight="1">
      <c r="A5" s="16" t="n">
        <v>1</v>
      </c>
      <c r="B5" s="11" t="inlineStr">
        <is>
          <t>玉皇山大马戏</t>
        </is>
      </c>
      <c r="C5" s="8" t="inlineStr">
        <is>
          <t>核心引流</t>
        </is>
      </c>
      <c r="D5" s="58" t="inlineStr">
        <is>
          <t>联营</t>
        </is>
      </c>
      <c r="E5" s="16" t="inlineStr">
        <is>
          <t>traffic</t>
        </is>
      </c>
      <c r="F5" s="43" t="n">
        <v>0.2</v>
      </c>
      <c r="G5" s="43" t="n">
        <v>0.18</v>
      </c>
      <c r="H5" s="33" t="n">
        <v>62</v>
      </c>
      <c r="I5" s="33" t="n">
        <v>0</v>
      </c>
      <c r="J5" s="33" t="n">
        <v>0</v>
      </c>
      <c r="K5" s="42" t="n">
        <v>365</v>
      </c>
      <c r="L5" s="43" t="n">
        <v>1</v>
      </c>
      <c r="M5" s="33" t="n">
        <v>0</v>
      </c>
      <c r="N5" s="33" t="n">
        <v>0</v>
      </c>
      <c r="O5" s="43" t="n">
        <v>1</v>
      </c>
      <c r="P5" s="33" t="n">
        <v>0</v>
      </c>
      <c r="Q5" s="43" t="n">
        <v>0.02</v>
      </c>
      <c r="R5" s="43" t="n">
        <v>0.01</v>
      </c>
      <c r="S5" s="43" t="n">
        <v>0.03</v>
      </c>
      <c r="T5" s="42" t="n">
        <v>0</v>
      </c>
      <c r="U5" s="50" t="inlineStr">
        <is>
          <t>原表</t>
        </is>
      </c>
      <c r="V5" s="8" t="inlineStr">
        <is>
          <t>600座×2场×240天×70%×58元≈1,169万GMV，公园分成20%｜表6+表5原网球场</t>
        </is>
      </c>
    </row>
    <row r="6" ht="32" customHeight="1">
      <c r="A6" s="16" t="n">
        <v>2</v>
      </c>
      <c r="B6" s="11" t="inlineStr">
        <is>
          <t>超级宝贝王</t>
        </is>
      </c>
      <c r="C6" s="8" t="inlineStr">
        <is>
          <t>亲子核心</t>
        </is>
      </c>
      <c r="D6" s="59" t="inlineStr">
        <is>
          <t>品牌加盟</t>
        </is>
      </c>
      <c r="E6" s="16" t="inlineStr">
        <is>
          <t>babyking</t>
        </is>
      </c>
      <c r="F6" s="43" t="n">
        <v>1</v>
      </c>
      <c r="G6" s="43" t="n">
        <v>0</v>
      </c>
      <c r="H6" s="33" t="n">
        <v>0</v>
      </c>
      <c r="I6" s="33" t="n">
        <v>0</v>
      </c>
      <c r="J6" s="33" t="n">
        <v>0</v>
      </c>
      <c r="K6" s="42" t="n">
        <v>365</v>
      </c>
      <c r="L6" s="43" t="n">
        <v>1</v>
      </c>
      <c r="M6" s="33" t="n">
        <v>0</v>
      </c>
      <c r="N6" s="33" t="n">
        <v>0</v>
      </c>
      <c r="O6" s="43" t="n">
        <v>1</v>
      </c>
      <c r="P6" s="33" t="n">
        <v>0</v>
      </c>
      <c r="Q6" s="43" t="n">
        <v>0</v>
      </c>
      <c r="R6" s="43" t="n">
        <v>0</v>
      </c>
      <c r="S6" s="43" t="n">
        <v>0</v>
      </c>
      <c r="T6" s="42" t="n">
        <v>26</v>
      </c>
      <c r="U6" s="50" t="inlineStr">
        <is>
          <t>原表</t>
        </is>
      </c>
      <c r="V6" s="8" t="inlineStr">
        <is>
          <t>年接待上限40万人；万达仅对门票/体验流水计提10%｜表6品牌加盟</t>
        </is>
      </c>
    </row>
    <row r="7" ht="32" customHeight="1">
      <c r="A7" s="16" t="n">
        <v>3</v>
      </c>
      <c r="B7" s="11" t="inlineStr">
        <is>
          <t>土特产伴手礼</t>
        </is>
      </c>
      <c r="C7" s="8" t="inlineStr">
        <is>
          <t>文创零售</t>
        </is>
      </c>
      <c r="D7" s="60" t="inlineStr">
        <is>
          <t>自营</t>
        </is>
      </c>
      <c r="E7" s="16" t="inlineStr">
        <is>
          <t>traffic</t>
        </is>
      </c>
      <c r="F7" s="43" t="n">
        <v>1</v>
      </c>
      <c r="G7" s="43" t="n">
        <v>0.18</v>
      </c>
      <c r="H7" s="33" t="n">
        <v>48</v>
      </c>
      <c r="I7" s="33" t="n">
        <v>0</v>
      </c>
      <c r="J7" s="33" t="n">
        <v>0</v>
      </c>
      <c r="K7" s="42" t="n">
        <v>365</v>
      </c>
      <c r="L7" s="43" t="n">
        <v>1</v>
      </c>
      <c r="M7" s="33" t="n">
        <v>0</v>
      </c>
      <c r="N7" s="33" t="n">
        <v>0</v>
      </c>
      <c r="O7" s="43" t="n">
        <v>1</v>
      </c>
      <c r="P7" s="33" t="n">
        <v>0</v>
      </c>
      <c r="Q7" s="43" t="n">
        <v>0.48</v>
      </c>
      <c r="R7" s="43" t="n">
        <v>0.04</v>
      </c>
      <c r="S7" s="43" t="n">
        <v>0.03</v>
      </c>
      <c r="T7" s="42" t="n">
        <v>3</v>
      </c>
      <c r="U7" s="50" t="inlineStr">
        <is>
          <t>原表</t>
        </is>
      </c>
      <c r="V7" s="8" t="inlineStr">
        <is>
          <t>全园转化16%、客单48元，低于20%×60元上限｜表6自营</t>
        </is>
      </c>
    </row>
    <row r="8" ht="32" customHeight="1">
      <c r="A8" s="16" t="n">
        <v>4</v>
      </c>
      <c r="B8" s="11" t="inlineStr">
        <is>
          <t>动物萌宠互动</t>
        </is>
      </c>
      <c r="C8" s="8" t="inlineStr">
        <is>
          <t>亲子互动</t>
        </is>
      </c>
      <c r="D8" s="58" t="inlineStr">
        <is>
          <t>联营</t>
        </is>
      </c>
      <c r="E8" s="16" t="inlineStr">
        <is>
          <t>traffic</t>
        </is>
      </c>
      <c r="F8" s="43" t="n">
        <v>0.4</v>
      </c>
      <c r="G8" s="43" t="n">
        <v>0.08</v>
      </c>
      <c r="H8" s="33" t="n">
        <v>25</v>
      </c>
      <c r="I8" s="33" t="n">
        <v>0</v>
      </c>
      <c r="J8" s="33" t="n">
        <v>0</v>
      </c>
      <c r="K8" s="42" t="n">
        <v>365</v>
      </c>
      <c r="L8" s="43" t="n">
        <v>1</v>
      </c>
      <c r="M8" s="33" t="n">
        <v>0</v>
      </c>
      <c r="N8" s="33" t="n">
        <v>0</v>
      </c>
      <c r="O8" s="43" t="n">
        <v>1</v>
      </c>
      <c r="P8" s="33" t="n">
        <v>0</v>
      </c>
      <c r="Q8" s="43" t="n">
        <v>0.02</v>
      </c>
      <c r="R8" s="43" t="n">
        <v>0.01</v>
      </c>
      <c r="S8" s="43" t="n">
        <v>0.03</v>
      </c>
      <c r="T8" s="42" t="n">
        <v>0</v>
      </c>
      <c r="U8" s="50" t="inlineStr">
        <is>
          <t>原表</t>
        </is>
      </c>
      <c r="V8" s="8" t="inlineStr">
        <is>
          <t>互动接待约日350人，公园分成40%｜表6联营</t>
        </is>
      </c>
    </row>
    <row r="9" ht="32" customHeight="1">
      <c r="A9" s="16" t="n">
        <v>5</v>
      </c>
      <c r="B9" s="11" t="inlineStr">
        <is>
          <t>湖畔影院</t>
        </is>
      </c>
      <c r="C9" s="8" t="inlineStr">
        <is>
          <t>文化娱乐</t>
        </is>
      </c>
      <c r="D9" s="58" t="inlineStr">
        <is>
          <t>联营</t>
        </is>
      </c>
      <c r="E9" s="16" t="inlineStr">
        <is>
          <t>traffic</t>
        </is>
      </c>
      <c r="F9" s="43" t="n">
        <v>0.6</v>
      </c>
      <c r="G9" s="43" t="n">
        <v>0.08</v>
      </c>
      <c r="H9" s="33" t="n">
        <v>32</v>
      </c>
      <c r="I9" s="33" t="n">
        <v>0</v>
      </c>
      <c r="J9" s="33" t="n">
        <v>0</v>
      </c>
      <c r="K9" s="42" t="n">
        <v>365</v>
      </c>
      <c r="L9" s="43" t="n">
        <v>1</v>
      </c>
      <c r="M9" s="33" t="n">
        <v>0</v>
      </c>
      <c r="N9" s="33" t="n">
        <v>0</v>
      </c>
      <c r="O9" s="43" t="n">
        <v>1</v>
      </c>
      <c r="P9" s="33" t="n">
        <v>0</v>
      </c>
      <c r="Q9" s="43" t="n">
        <v>0.02</v>
      </c>
      <c r="R9" s="43" t="n">
        <v>0.01</v>
      </c>
      <c r="S9" s="43" t="n">
        <v>0.03</v>
      </c>
      <c r="T9" s="42" t="n">
        <v>0</v>
      </c>
      <c r="U9" s="50" t="inlineStr">
        <is>
          <t>原表</t>
        </is>
      </c>
      <c r="V9" s="8" t="inlineStr">
        <is>
          <t>160座×2.2场×250天容量内｜表6联营</t>
        </is>
      </c>
    </row>
    <row r="10" ht="32" customHeight="1">
      <c r="A10" s="16" t="n">
        <v>6</v>
      </c>
      <c r="B10" s="11" t="inlineStr">
        <is>
          <t>青年街区</t>
        </is>
      </c>
      <c r="C10" s="8" t="inlineStr">
        <is>
          <t>青年消费</t>
        </is>
      </c>
      <c r="D10" s="30" t="inlineStr">
        <is>
          <t>出租</t>
        </is>
      </c>
      <c r="E10" s="16" t="inlineStr">
        <is>
          <t>rent</t>
        </is>
      </c>
      <c r="F10" s="43" t="n">
        <v>1</v>
      </c>
      <c r="G10" s="43" t="n">
        <v>0</v>
      </c>
      <c r="H10" s="33" t="n">
        <v>0</v>
      </c>
      <c r="I10" s="33" t="n">
        <v>500</v>
      </c>
      <c r="J10" s="33" t="n">
        <v>6.8</v>
      </c>
      <c r="K10" s="42" t="n">
        <v>365</v>
      </c>
      <c r="L10" s="43" t="n">
        <v>0.95</v>
      </c>
      <c r="M10" s="33" t="n">
        <v>0</v>
      </c>
      <c r="N10" s="33" t="n">
        <v>0</v>
      </c>
      <c r="O10" s="43" t="n">
        <v>1</v>
      </c>
      <c r="P10" s="33" t="n">
        <v>0</v>
      </c>
      <c r="Q10" s="43" t="n">
        <v>0</v>
      </c>
      <c r="R10" s="43" t="n">
        <v>0</v>
      </c>
      <c r="S10" s="43" t="n">
        <v>0.06</v>
      </c>
      <c r="T10" s="42" t="n">
        <v>0</v>
      </c>
      <c r="U10" s="50" t="inlineStr">
        <is>
          <t>原表</t>
        </is>
      </c>
      <c r="V10" s="8" t="inlineStr">
        <is>
          <t>500㎡情景街区，租金6.2元/㎡/天｜表6出租</t>
        </is>
      </c>
    </row>
    <row r="11" ht="32" customHeight="1">
      <c r="A11" s="16" t="n">
        <v>7</v>
      </c>
      <c r="B11" s="11" t="inlineStr">
        <is>
          <t>茶屋氧吧</t>
        </is>
      </c>
      <c r="C11" s="8" t="inlineStr">
        <is>
          <t>餐饮休闲</t>
        </is>
      </c>
      <c r="D11" s="58" t="inlineStr">
        <is>
          <t>联营</t>
        </is>
      </c>
      <c r="E11" s="16" t="inlineStr">
        <is>
          <t>rent</t>
        </is>
      </c>
      <c r="F11" s="43" t="n">
        <v>1</v>
      </c>
      <c r="G11" s="43" t="n">
        <v>0</v>
      </c>
      <c r="H11" s="33" t="n">
        <v>0</v>
      </c>
      <c r="I11" s="33" t="n">
        <v>920</v>
      </c>
      <c r="J11" s="33" t="n">
        <v>5.4</v>
      </c>
      <c r="K11" s="42" t="n">
        <v>365</v>
      </c>
      <c r="L11" s="43" t="n">
        <v>1</v>
      </c>
      <c r="M11" s="33" t="n">
        <v>0</v>
      </c>
      <c r="N11" s="33" t="n">
        <v>0</v>
      </c>
      <c r="O11" s="43" t="n">
        <v>1</v>
      </c>
      <c r="P11" s="33" t="n">
        <v>0</v>
      </c>
      <c r="Q11" s="43" t="n">
        <v>0</v>
      </c>
      <c r="R11" s="43" t="n">
        <v>0</v>
      </c>
      <c r="S11" s="43" t="n">
        <v>0.04</v>
      </c>
      <c r="T11" s="42" t="n">
        <v>0</v>
      </c>
      <c r="U11" s="50" t="inlineStr">
        <is>
          <t>原表</t>
        </is>
      </c>
      <c r="V11" s="8" t="inlineStr">
        <is>
          <t>花窖920㎡保底租金5.4元/㎡/天，另按人流计提15%茶饮分成｜表6联营(保底+分成)</t>
        </is>
      </c>
    </row>
    <row r="12" ht="32" customHeight="1">
      <c r="A12" s="16" t="n">
        <v>8</v>
      </c>
      <c r="B12" s="11" t="inlineStr">
        <is>
          <t>素食餐厅</t>
        </is>
      </c>
      <c r="C12" s="8" t="inlineStr">
        <is>
          <t>餐饮休闲</t>
        </is>
      </c>
      <c r="D12" s="58" t="inlineStr">
        <is>
          <t>联营</t>
        </is>
      </c>
      <c r="E12" s="16" t="inlineStr">
        <is>
          <t>traffic</t>
        </is>
      </c>
      <c r="F12" s="43" t="n">
        <v>0.2</v>
      </c>
      <c r="G12" s="43" t="n">
        <v>0.14</v>
      </c>
      <c r="H12" s="33" t="n">
        <v>72</v>
      </c>
      <c r="I12" s="33" t="n">
        <v>0</v>
      </c>
      <c r="J12" s="33" t="n">
        <v>0</v>
      </c>
      <c r="K12" s="42" t="n">
        <v>365</v>
      </c>
      <c r="L12" s="43" t="n">
        <v>1</v>
      </c>
      <c r="M12" s="33" t="n">
        <v>0</v>
      </c>
      <c r="N12" s="33" t="n">
        <v>0</v>
      </c>
      <c r="O12" s="43" t="n">
        <v>1</v>
      </c>
      <c r="P12" s="33" t="n">
        <v>0</v>
      </c>
      <c r="Q12" s="43" t="n">
        <v>0.02</v>
      </c>
      <c r="R12" s="43" t="n">
        <v>0.01</v>
      </c>
      <c r="S12" s="43" t="n">
        <v>0.03</v>
      </c>
      <c r="T12" s="42" t="n">
        <v>0</v>
      </c>
      <c r="U12" s="50" t="inlineStr">
        <is>
          <t>原表</t>
        </is>
      </c>
      <c r="V12" s="8" t="inlineStr">
        <is>
          <t>索道房改造，公园分成20%；翻台受4次/日约束｜表6联营</t>
        </is>
      </c>
    </row>
    <row r="13" ht="32" customHeight="1">
      <c r="A13" s="16" t="n">
        <v>9</v>
      </c>
      <c r="B13" s="11" t="inlineStr">
        <is>
          <t>庙会/市集</t>
        </is>
      </c>
      <c r="C13" s="8" t="inlineStr">
        <is>
          <t>商业配套</t>
        </is>
      </c>
      <c r="D13" s="58" t="inlineStr">
        <is>
          <t>联营</t>
        </is>
      </c>
      <c r="E13" s="16" t="inlineStr">
        <is>
          <t>event</t>
        </is>
      </c>
      <c r="F13" s="43" t="n">
        <v>1</v>
      </c>
      <c r="G13" s="43" t="n">
        <v>0</v>
      </c>
      <c r="H13" s="33" t="n">
        <v>0</v>
      </c>
      <c r="I13" s="33" t="n">
        <v>0</v>
      </c>
      <c r="J13" s="33" t="n">
        <v>0</v>
      </c>
      <c r="K13" s="42" t="n">
        <v>365</v>
      </c>
      <c r="L13" s="43" t="n">
        <v>1</v>
      </c>
      <c r="M13" s="33" t="n">
        <v>40</v>
      </c>
      <c r="N13" s="33" t="n">
        <v>8.800000000000001</v>
      </c>
      <c r="O13" s="43" t="n">
        <v>1</v>
      </c>
      <c r="P13" s="33" t="n">
        <v>0</v>
      </c>
      <c r="Q13" s="43" t="n">
        <v>0.02</v>
      </c>
      <c r="R13" s="43" t="n">
        <v>0.01</v>
      </c>
      <c r="S13" s="43" t="n">
        <v>0.04</v>
      </c>
      <c r="T13" s="42" t="n">
        <v>2</v>
      </c>
      <c r="U13" s="50" t="inlineStr">
        <is>
          <t>原表</t>
        </is>
      </c>
      <c r="V13" s="8" t="inlineStr">
        <is>
          <t>36个经营日×摊位及联营综合8.5万元/日｜表6联营</t>
        </is>
      </c>
    </row>
    <row r="14" ht="32" customHeight="1">
      <c r="A14" s="16" t="n">
        <v>10</v>
      </c>
      <c r="B14" s="11" t="inlineStr">
        <is>
          <t>婚礼花园</t>
        </is>
      </c>
      <c r="C14" s="8" t="inlineStr">
        <is>
          <t>活动经济</t>
        </is>
      </c>
      <c r="D14" s="60" t="inlineStr">
        <is>
          <t>自营</t>
        </is>
      </c>
      <c r="E14" s="16" t="inlineStr">
        <is>
          <t>event</t>
        </is>
      </c>
      <c r="F14" s="43" t="n">
        <v>1</v>
      </c>
      <c r="G14" s="43" t="n">
        <v>0</v>
      </c>
      <c r="H14" s="33" t="n">
        <v>0</v>
      </c>
      <c r="I14" s="33" t="n">
        <v>0</v>
      </c>
      <c r="J14" s="33" t="n">
        <v>0</v>
      </c>
      <c r="K14" s="42" t="n">
        <v>365</v>
      </c>
      <c r="L14" s="43" t="n">
        <v>1</v>
      </c>
      <c r="M14" s="33" t="n">
        <v>90</v>
      </c>
      <c r="N14" s="33" t="n">
        <v>2.4</v>
      </c>
      <c r="O14" s="43" t="n">
        <v>0.75</v>
      </c>
      <c r="P14" s="33" t="n">
        <v>0</v>
      </c>
      <c r="Q14" s="43" t="n">
        <v>0.28</v>
      </c>
      <c r="R14" s="43" t="n">
        <v>0.08</v>
      </c>
      <c r="S14" s="43" t="n">
        <v>0.04</v>
      </c>
      <c r="T14" s="42" t="n">
        <v>3</v>
      </c>
      <c r="U14" s="50" t="inlineStr">
        <is>
          <t>原表</t>
        </is>
      </c>
      <c r="V14" s="8" t="inlineStr">
        <is>
          <t>年可承接90个经营日，场地费为主｜表6自营</t>
        </is>
      </c>
    </row>
    <row r="15" ht="32" customHeight="1">
      <c r="A15" s="16" t="n">
        <v>11</v>
      </c>
      <c r="B15" s="11" t="inlineStr">
        <is>
          <t>雪地冰屋</t>
        </is>
      </c>
      <c r="C15" s="8" t="inlineStr">
        <is>
          <t>冬季产品</t>
        </is>
      </c>
      <c r="D15" s="30" t="inlineStr">
        <is>
          <t>出租</t>
        </is>
      </c>
      <c r="E15" s="16" t="inlineStr">
        <is>
          <t>fixed</t>
        </is>
      </c>
      <c r="F15" s="43" t="n">
        <v>1</v>
      </c>
      <c r="G15" s="43" t="n">
        <v>0</v>
      </c>
      <c r="H15" s="33" t="n">
        <v>0</v>
      </c>
      <c r="I15" s="33" t="n">
        <v>0</v>
      </c>
      <c r="J15" s="33" t="n">
        <v>0</v>
      </c>
      <c r="K15" s="42" t="n">
        <v>365</v>
      </c>
      <c r="L15" s="43" t="n">
        <v>1</v>
      </c>
      <c r="M15" s="33" t="n">
        <v>0</v>
      </c>
      <c r="N15" s="33" t="n">
        <v>0</v>
      </c>
      <c r="O15" s="43" t="n">
        <v>1</v>
      </c>
      <c r="P15" s="33" t="n">
        <v>36</v>
      </c>
      <c r="Q15" s="43" t="n">
        <v>0</v>
      </c>
      <c r="R15" s="43" t="n">
        <v>0</v>
      </c>
      <c r="S15" s="43" t="n">
        <v>0.06</v>
      </c>
      <c r="T15" s="42" t="n">
        <v>0</v>
      </c>
      <c r="U15" s="50" t="inlineStr">
        <is>
          <t>原表</t>
        </is>
      </c>
      <c r="V15" s="8" t="inlineStr">
        <is>
          <t>季节性出租，租金年度浮动｜表6出租</t>
        </is>
      </c>
    </row>
    <row r="16" ht="32" customHeight="1">
      <c r="A16" s="16" t="n">
        <v>12</v>
      </c>
      <c r="B16" s="11" t="inlineStr">
        <is>
          <t>森林剧场</t>
        </is>
      </c>
      <c r="C16" s="8" t="inlineStr">
        <is>
          <t>演艺夜游</t>
        </is>
      </c>
      <c r="D16" s="58" t="inlineStr">
        <is>
          <t>联营</t>
        </is>
      </c>
      <c r="E16" s="16" t="inlineStr">
        <is>
          <t>traffic</t>
        </is>
      </c>
      <c r="F16" s="43" t="n">
        <v>0.6</v>
      </c>
      <c r="G16" s="43" t="n">
        <v>0.12</v>
      </c>
      <c r="H16" s="33" t="n">
        <v>58</v>
      </c>
      <c r="I16" s="33" t="n">
        <v>0</v>
      </c>
      <c r="J16" s="33" t="n">
        <v>0</v>
      </c>
      <c r="K16" s="42" t="n">
        <v>365</v>
      </c>
      <c r="L16" s="43" t="n">
        <v>1</v>
      </c>
      <c r="M16" s="33" t="n">
        <v>0</v>
      </c>
      <c r="N16" s="33" t="n">
        <v>0</v>
      </c>
      <c r="O16" s="43" t="n">
        <v>1</v>
      </c>
      <c r="P16" s="33" t="n">
        <v>0</v>
      </c>
      <c r="Q16" s="43" t="n">
        <v>0.02</v>
      </c>
      <c r="R16" s="43" t="n">
        <v>0.02</v>
      </c>
      <c r="S16" s="43" t="n">
        <v>0.03</v>
      </c>
      <c r="T16" s="42" t="n">
        <v>1</v>
      </c>
      <c r="U16" s="50" t="inlineStr">
        <is>
          <t>原表</t>
        </is>
      </c>
      <c r="V16" s="8" t="inlineStr">
        <is>
          <t>迷宫改建，公园分成60%｜表6联营</t>
        </is>
      </c>
    </row>
    <row r="17" ht="32" customHeight="1">
      <c r="A17" s="16" t="n">
        <v>13</v>
      </c>
      <c r="B17" s="11" t="inlineStr">
        <is>
          <t>禅修道苑</t>
        </is>
      </c>
      <c r="C17" s="8" t="inlineStr">
        <is>
          <t>康养文化</t>
        </is>
      </c>
      <c r="D17" s="58" t="inlineStr">
        <is>
          <t>联营</t>
        </is>
      </c>
      <c r="E17" s="16" t="inlineStr">
        <is>
          <t>traffic</t>
        </is>
      </c>
      <c r="F17" s="43" t="n">
        <v>0.4</v>
      </c>
      <c r="G17" s="43" t="n">
        <v>0.012</v>
      </c>
      <c r="H17" s="33" t="n">
        <v>120</v>
      </c>
      <c r="I17" s="33" t="n">
        <v>0</v>
      </c>
      <c r="J17" s="33" t="n">
        <v>0</v>
      </c>
      <c r="K17" s="42" t="n">
        <v>365</v>
      </c>
      <c r="L17" s="43" t="n">
        <v>1</v>
      </c>
      <c r="M17" s="33" t="n">
        <v>0</v>
      </c>
      <c r="N17" s="33" t="n">
        <v>0</v>
      </c>
      <c r="O17" s="43" t="n">
        <v>1</v>
      </c>
      <c r="P17" s="33" t="n">
        <v>0</v>
      </c>
      <c r="Q17" s="43" t="n">
        <v>0.02</v>
      </c>
      <c r="R17" s="43" t="n">
        <v>0.01</v>
      </c>
      <c r="S17" s="43" t="n">
        <v>0.03</v>
      </c>
      <c r="T17" s="42" t="n">
        <v>0</v>
      </c>
      <c r="U17" s="50" t="inlineStr">
        <is>
          <t>原表</t>
        </is>
      </c>
      <c r="V17" s="8" t="inlineStr">
        <is>
          <t>小团预约，公园分成40%｜表6联营</t>
        </is>
      </c>
    </row>
    <row r="18" ht="32" customHeight="1">
      <c r="A18" s="16" t="n">
        <v>14</v>
      </c>
      <c r="B18" s="11" t="inlineStr">
        <is>
          <t>悬崖咖啡</t>
        </is>
      </c>
      <c r="C18" s="8" t="inlineStr">
        <is>
          <t>餐饮休闲</t>
        </is>
      </c>
      <c r="D18" s="58" t="inlineStr">
        <is>
          <t>联营</t>
        </is>
      </c>
      <c r="E18" s="16" t="inlineStr">
        <is>
          <t>traffic</t>
        </is>
      </c>
      <c r="F18" s="43" t="n">
        <v>0.2</v>
      </c>
      <c r="G18" s="43" t="n">
        <v>0.16</v>
      </c>
      <c r="H18" s="33" t="n">
        <v>58</v>
      </c>
      <c r="I18" s="33" t="n">
        <v>0</v>
      </c>
      <c r="J18" s="33" t="n">
        <v>0</v>
      </c>
      <c r="K18" s="42" t="n">
        <v>365</v>
      </c>
      <c r="L18" s="43" t="n">
        <v>1</v>
      </c>
      <c r="M18" s="33" t="n">
        <v>0</v>
      </c>
      <c r="N18" s="33" t="n">
        <v>0</v>
      </c>
      <c r="O18" s="43" t="n">
        <v>1</v>
      </c>
      <c r="P18" s="33" t="n">
        <v>0</v>
      </c>
      <c r="Q18" s="43" t="n">
        <v>0.02</v>
      </c>
      <c r="R18" s="43" t="n">
        <v>0.01</v>
      </c>
      <c r="S18" s="43" t="n">
        <v>0.03</v>
      </c>
      <c r="T18" s="42" t="n">
        <v>0</v>
      </c>
      <c r="U18" s="50" t="inlineStr">
        <is>
          <t>原表</t>
        </is>
      </c>
      <c r="V18" s="8" t="inlineStr">
        <is>
          <t>表5已列300万元改造，公园分成20%｜表6联营</t>
        </is>
      </c>
    </row>
    <row r="19" ht="32" customHeight="1">
      <c r="A19" s="16" t="n">
        <v>15</v>
      </c>
      <c r="B19" s="11" t="inlineStr">
        <is>
          <t>许愿祈福</t>
        </is>
      </c>
      <c r="C19" s="8" t="inlineStr">
        <is>
          <t>文化体验</t>
        </is>
      </c>
      <c r="D19" s="58" t="inlineStr">
        <is>
          <t>联营</t>
        </is>
      </c>
      <c r="E19" s="16" t="inlineStr">
        <is>
          <t>traffic</t>
        </is>
      </c>
      <c r="F19" s="43" t="n">
        <v>0.6</v>
      </c>
      <c r="G19" s="43" t="n">
        <v>0.06</v>
      </c>
      <c r="H19" s="33" t="n">
        <v>22</v>
      </c>
      <c r="I19" s="33" t="n">
        <v>0</v>
      </c>
      <c r="J19" s="33" t="n">
        <v>0</v>
      </c>
      <c r="K19" s="42" t="n">
        <v>365</v>
      </c>
      <c r="L19" s="43" t="n">
        <v>1</v>
      </c>
      <c r="M19" s="33" t="n">
        <v>0</v>
      </c>
      <c r="N19" s="33" t="n">
        <v>0</v>
      </c>
      <c r="O19" s="43" t="n">
        <v>1</v>
      </c>
      <c r="P19" s="33" t="n">
        <v>0</v>
      </c>
      <c r="Q19" s="43" t="n">
        <v>0.02</v>
      </c>
      <c r="R19" s="43" t="n">
        <v>0.01</v>
      </c>
      <c r="S19" s="43" t="n">
        <v>0.02</v>
      </c>
      <c r="T19" s="42" t="n">
        <v>0</v>
      </c>
      <c r="U19" s="50" t="inlineStr">
        <is>
          <t>原表</t>
        </is>
      </c>
      <c r="V19" s="8" t="inlineStr">
        <is>
          <t>许愿树已投资，公园分成60%｜表6联营</t>
        </is>
      </c>
    </row>
    <row r="20" ht="32" customHeight="1">
      <c r="A20" s="16" t="n">
        <v>16</v>
      </c>
      <c r="B20" s="11" t="inlineStr">
        <is>
          <t>树屋及星空露营</t>
        </is>
      </c>
      <c r="C20" s="8" t="inlineStr">
        <is>
          <t>住宿体验</t>
        </is>
      </c>
      <c r="D20" s="58" t="inlineStr">
        <is>
          <t>联营</t>
        </is>
      </c>
      <c r="E20" s="16" t="inlineStr">
        <is>
          <t>traffic</t>
        </is>
      </c>
      <c r="F20" s="43" t="n">
        <v>0.3</v>
      </c>
      <c r="G20" s="43" t="n">
        <v>0.015</v>
      </c>
      <c r="H20" s="33" t="n">
        <v>220</v>
      </c>
      <c r="I20" s="33" t="n">
        <v>0</v>
      </c>
      <c r="J20" s="33" t="n">
        <v>0</v>
      </c>
      <c r="K20" s="42" t="n">
        <v>365</v>
      </c>
      <c r="L20" s="43" t="n">
        <v>1</v>
      </c>
      <c r="M20" s="33" t="n">
        <v>0</v>
      </c>
      <c r="N20" s="33" t="n">
        <v>0</v>
      </c>
      <c r="O20" s="43" t="n">
        <v>1</v>
      </c>
      <c r="P20" s="33" t="n">
        <v>0</v>
      </c>
      <c r="Q20" s="43" t="n">
        <v>0.02</v>
      </c>
      <c r="R20" s="43" t="n">
        <v>0.02</v>
      </c>
      <c r="S20" s="43" t="n">
        <v>0.04</v>
      </c>
      <c r="T20" s="42" t="n">
        <v>0</v>
      </c>
      <c r="U20" s="61" t="inlineStr">
        <is>
          <t>填充</t>
        </is>
      </c>
      <c r="V20" s="8" t="inlineStr">
        <is>
          <t>树屋+露营区表5已投资，不新增单元，公园分成30%｜表6联营+表5露营填充</t>
        </is>
      </c>
    </row>
    <row r="21" ht="32" customHeight="1">
      <c r="A21" s="16" t="n">
        <v>17</v>
      </c>
      <c r="B21" s="11" t="inlineStr">
        <is>
          <t>山洞酒庄</t>
        </is>
      </c>
      <c r="C21" s="8" t="inlineStr">
        <is>
          <t>特色消费</t>
        </is>
      </c>
      <c r="D21" s="60" t="inlineStr">
        <is>
          <t>自营</t>
        </is>
      </c>
      <c r="E21" s="16" t="inlineStr">
        <is>
          <t>traffic</t>
        </is>
      </c>
      <c r="F21" s="43" t="n">
        <v>1</v>
      </c>
      <c r="G21" s="43" t="n">
        <v>0.07000000000000001</v>
      </c>
      <c r="H21" s="33" t="n">
        <v>42</v>
      </c>
      <c r="I21" s="33" t="n">
        <v>0</v>
      </c>
      <c r="J21" s="33" t="n">
        <v>0</v>
      </c>
      <c r="K21" s="42" t="n">
        <v>365</v>
      </c>
      <c r="L21" s="43" t="n">
        <v>1</v>
      </c>
      <c r="M21" s="33" t="n">
        <v>0</v>
      </c>
      <c r="N21" s="33" t="n">
        <v>0</v>
      </c>
      <c r="O21" s="43" t="n">
        <v>1</v>
      </c>
      <c r="P21" s="33" t="n">
        <v>0</v>
      </c>
      <c r="Q21" s="43" t="n">
        <v>0.38</v>
      </c>
      <c r="R21" s="43" t="n">
        <v>0.05</v>
      </c>
      <c r="S21" s="43" t="n">
        <v>0.04</v>
      </c>
      <c r="T21" s="42" t="n">
        <v>3</v>
      </c>
      <c r="U21" s="50" t="inlineStr">
        <is>
          <t>原表</t>
        </is>
      </c>
      <c r="V21" s="8" t="inlineStr">
        <is>
          <t>防空洞酒窖，品鉴+礼盒，自营利润约30%目标｜表6自营</t>
        </is>
      </c>
    </row>
    <row r="22" ht="32" customHeight="1">
      <c r="A22" s="16" t="n">
        <v>18</v>
      </c>
      <c r="B22" s="11" t="inlineStr">
        <is>
          <t>公园旅拍</t>
        </is>
      </c>
      <c r="C22" s="8" t="inlineStr">
        <is>
          <t>内容消费</t>
        </is>
      </c>
      <c r="D22" s="58" t="inlineStr">
        <is>
          <t>联营</t>
        </is>
      </c>
      <c r="E22" s="16" t="inlineStr">
        <is>
          <t>traffic</t>
        </is>
      </c>
      <c r="F22" s="43" t="n">
        <v>0.4</v>
      </c>
      <c r="G22" s="43" t="n">
        <v>0.008</v>
      </c>
      <c r="H22" s="33" t="n">
        <v>380</v>
      </c>
      <c r="I22" s="33" t="n">
        <v>0</v>
      </c>
      <c r="J22" s="33" t="n">
        <v>0</v>
      </c>
      <c r="K22" s="42" t="n">
        <v>365</v>
      </c>
      <c r="L22" s="43" t="n">
        <v>1</v>
      </c>
      <c r="M22" s="33" t="n">
        <v>0</v>
      </c>
      <c r="N22" s="33" t="n">
        <v>0</v>
      </c>
      <c r="O22" s="43" t="n">
        <v>1</v>
      </c>
      <c r="P22" s="33" t="n">
        <v>0</v>
      </c>
      <c r="Q22" s="43" t="n">
        <v>0.03</v>
      </c>
      <c r="R22" s="43" t="n">
        <v>0.04</v>
      </c>
      <c r="S22" s="43" t="n">
        <v>0.03</v>
      </c>
      <c r="T22" s="42" t="n">
        <v>0</v>
      </c>
      <c r="U22" s="61" t="inlineStr">
        <is>
          <t>填充</t>
        </is>
      </c>
      <c r="V22" s="8" t="inlineStr">
        <is>
          <t>表6已列业态但原收入为空；按单分佣，不新增硬件｜表6联营(原空值填充)</t>
        </is>
      </c>
    </row>
    <row r="23" ht="32" customHeight="1">
      <c r="A23" s="16" t="n">
        <v>19</v>
      </c>
      <c r="B23" s="11" t="inlineStr">
        <is>
          <t>园区交通</t>
        </is>
      </c>
      <c r="C23" s="8" t="inlineStr">
        <is>
          <t>交通服务</t>
        </is>
      </c>
      <c r="D23" s="60" t="inlineStr">
        <is>
          <t>自营</t>
        </is>
      </c>
      <c r="E23" s="16" t="inlineStr">
        <is>
          <t>traffic</t>
        </is>
      </c>
      <c r="F23" s="43" t="n">
        <v>1</v>
      </c>
      <c r="G23" s="43" t="n">
        <v>0.28</v>
      </c>
      <c r="H23" s="33" t="n">
        <v>12</v>
      </c>
      <c r="I23" s="33" t="n">
        <v>0</v>
      </c>
      <c r="J23" s="33" t="n">
        <v>0</v>
      </c>
      <c r="K23" s="42" t="n">
        <v>365</v>
      </c>
      <c r="L23" s="43" t="n">
        <v>1</v>
      </c>
      <c r="M23" s="33" t="n">
        <v>0</v>
      </c>
      <c r="N23" s="33" t="n">
        <v>0</v>
      </c>
      <c r="O23" s="43" t="n">
        <v>1</v>
      </c>
      <c r="P23" s="33" t="n">
        <v>0</v>
      </c>
      <c r="Q23" s="43" t="n">
        <v>0.18</v>
      </c>
      <c r="R23" s="43" t="n">
        <v>0.02</v>
      </c>
      <c r="S23" s="43" t="n">
        <v>0.06</v>
      </c>
      <c r="T23" s="42" t="n">
        <v>10</v>
      </c>
      <c r="U23" s="50" t="inlineStr">
        <is>
          <t>原表</t>
        </is>
      </c>
      <c r="V23" s="8" t="inlineStr">
        <is>
          <t>8辆观光车不新增，转化28%、票价12元｜表6自营</t>
        </is>
      </c>
    </row>
    <row r="24" ht="32" customHeight="1">
      <c r="A24" s="16" t="n">
        <v>20</v>
      </c>
      <c r="B24" s="11" t="inlineStr">
        <is>
          <t>红色研学/VR展馆</t>
        </is>
      </c>
      <c r="C24" s="8" t="inlineStr">
        <is>
          <t>研学团建</t>
        </is>
      </c>
      <c r="D24" s="60" t="inlineStr">
        <is>
          <t>自营</t>
        </is>
      </c>
      <c r="E24" s="16" t="inlineStr">
        <is>
          <t>traffic</t>
        </is>
      </c>
      <c r="F24" s="43" t="n">
        <v>1</v>
      </c>
      <c r="G24" s="43" t="n">
        <v>0.1</v>
      </c>
      <c r="H24" s="33" t="n">
        <v>80</v>
      </c>
      <c r="I24" s="33" t="n">
        <v>0</v>
      </c>
      <c r="J24" s="33" t="n">
        <v>0</v>
      </c>
      <c r="K24" s="42" t="n">
        <v>365</v>
      </c>
      <c r="L24" s="43" t="n">
        <v>1</v>
      </c>
      <c r="M24" s="33" t="n">
        <v>0</v>
      </c>
      <c r="N24" s="33" t="n">
        <v>0</v>
      </c>
      <c r="O24" s="43" t="n">
        <v>1</v>
      </c>
      <c r="P24" s="33" t="n">
        <v>0</v>
      </c>
      <c r="Q24" s="43" t="n">
        <v>0.22</v>
      </c>
      <c r="R24" s="43" t="n">
        <v>0.06</v>
      </c>
      <c r="S24" s="43" t="n">
        <v>0.05</v>
      </c>
      <c r="T24" s="42" t="n">
        <v>2</v>
      </c>
      <c r="U24" s="61" t="inlineStr">
        <is>
          <t>填充</t>
        </is>
      </c>
      <c r="V24" s="8" t="inlineStr">
        <is>
          <t>表5研学展馆+林学已投资，公园自营课程，不含宝贝王内部研学门票｜表5红色记忆填充</t>
        </is>
      </c>
    </row>
    <row r="25" ht="32" customHeight="1">
      <c r="A25" s="16" t="n">
        <v>21</v>
      </c>
      <c r="B25" s="11" t="inlineStr">
        <is>
          <t>夜游/主题灯光</t>
        </is>
      </c>
      <c r="C25" s="8" t="inlineStr">
        <is>
          <t>夜间经济</t>
        </is>
      </c>
      <c r="D25" s="60" t="inlineStr">
        <is>
          <t>自营</t>
        </is>
      </c>
      <c r="E25" s="16" t="inlineStr">
        <is>
          <t>traffic</t>
        </is>
      </c>
      <c r="F25" s="43" t="n">
        <v>1</v>
      </c>
      <c r="G25" s="43" t="n">
        <v>0.16</v>
      </c>
      <c r="H25" s="33" t="n">
        <v>38</v>
      </c>
      <c r="I25" s="33" t="n">
        <v>0</v>
      </c>
      <c r="J25" s="33" t="n">
        <v>0</v>
      </c>
      <c r="K25" s="42" t="n">
        <v>365</v>
      </c>
      <c r="L25" s="43" t="n">
        <v>1</v>
      </c>
      <c r="M25" s="33" t="n">
        <v>0</v>
      </c>
      <c r="N25" s="33" t="n">
        <v>0</v>
      </c>
      <c r="O25" s="43" t="n">
        <v>1</v>
      </c>
      <c r="P25" s="33" t="n">
        <v>0</v>
      </c>
      <c r="Q25" s="43" t="n">
        <v>0.16</v>
      </c>
      <c r="R25" s="43" t="n">
        <v>0.05</v>
      </c>
      <c r="S25" s="43" t="n">
        <v>0.08</v>
      </c>
      <c r="T25" s="42" t="n">
        <v>4</v>
      </c>
      <c r="U25" s="61" t="inlineStr">
        <is>
          <t>填充</t>
        </is>
      </c>
      <c r="V25" s="8" t="inlineStr">
        <is>
          <t>利用已列亮化/栈道/观景台，不新增改造项目｜表5亮化栈道填充</t>
        </is>
      </c>
    </row>
    <row r="26" ht="32" customHeight="1">
      <c r="A26" s="16" t="n">
        <v>22</v>
      </c>
      <c r="B26" s="11" t="inlineStr">
        <is>
          <t>室内高尔夫</t>
        </is>
      </c>
      <c r="C26" s="8" t="inlineStr">
        <is>
          <t>运动休闲</t>
        </is>
      </c>
      <c r="D26" s="58" t="inlineStr">
        <is>
          <t>联营</t>
        </is>
      </c>
      <c r="E26" s="16" t="inlineStr">
        <is>
          <t>traffic</t>
        </is>
      </c>
      <c r="F26" s="43" t="n">
        <v>0.3</v>
      </c>
      <c r="G26" s="43" t="n">
        <v>0.03</v>
      </c>
      <c r="H26" s="33" t="n">
        <v>80</v>
      </c>
      <c r="I26" s="33" t="n">
        <v>0</v>
      </c>
      <c r="J26" s="33" t="n">
        <v>0</v>
      </c>
      <c r="K26" s="42" t="n">
        <v>365</v>
      </c>
      <c r="L26" s="43" t="n">
        <v>1</v>
      </c>
      <c r="M26" s="33" t="n">
        <v>0</v>
      </c>
      <c r="N26" s="33" t="n">
        <v>0</v>
      </c>
      <c r="O26" s="43" t="n">
        <v>1</v>
      </c>
      <c r="P26" s="33" t="n">
        <v>0</v>
      </c>
      <c r="Q26" s="43" t="n">
        <v>0.02</v>
      </c>
      <c r="R26" s="43" t="n">
        <v>0.01</v>
      </c>
      <c r="S26" s="43" t="n">
        <v>0.03</v>
      </c>
      <c r="T26" s="42" t="n">
        <v>0</v>
      </c>
      <c r="U26" s="61" t="inlineStr">
        <is>
          <t>填充</t>
        </is>
      </c>
      <c r="V26" s="8" t="inlineStr">
        <is>
          <t>表5已列45万元设备，公园分成30%｜表5填充</t>
        </is>
      </c>
    </row>
    <row r="27" ht="32" customHeight="1">
      <c r="A27" s="16" t="n">
        <v>23</v>
      </c>
      <c r="B27" s="11" t="inlineStr">
        <is>
          <t>花海摄影</t>
        </is>
      </c>
      <c r="C27" s="8" t="inlineStr">
        <is>
          <t>观光打卡</t>
        </is>
      </c>
      <c r="D27" s="60" t="inlineStr">
        <is>
          <t>自营</t>
        </is>
      </c>
      <c r="E27" s="16" t="inlineStr">
        <is>
          <t>traffic</t>
        </is>
      </c>
      <c r="F27" s="43" t="n">
        <v>1</v>
      </c>
      <c r="G27" s="43" t="n">
        <v>0.1</v>
      </c>
      <c r="H27" s="33" t="n">
        <v>18</v>
      </c>
      <c r="I27" s="33" t="n">
        <v>0</v>
      </c>
      <c r="J27" s="33" t="n">
        <v>0</v>
      </c>
      <c r="K27" s="42" t="n">
        <v>365</v>
      </c>
      <c r="L27" s="43" t="n">
        <v>1</v>
      </c>
      <c r="M27" s="33" t="n">
        <v>0</v>
      </c>
      <c r="N27" s="33" t="n">
        <v>0</v>
      </c>
      <c r="O27" s="43" t="n">
        <v>1</v>
      </c>
      <c r="P27" s="33" t="n">
        <v>0</v>
      </c>
      <c r="Q27" s="43" t="n">
        <v>0.15</v>
      </c>
      <c r="R27" s="43" t="n">
        <v>0.03</v>
      </c>
      <c r="S27" s="43" t="n">
        <v>0.05</v>
      </c>
      <c r="T27" s="42" t="n">
        <v>1</v>
      </c>
      <c r="U27" s="61" t="inlineStr">
        <is>
          <t>填充</t>
        </is>
      </c>
      <c r="V27" s="8" t="inlineStr">
        <is>
          <t>表5花海已投资，摄影票/摆拍，轻运营｜表5填充</t>
        </is>
      </c>
    </row>
    <row r="28" ht="32" customHeight="1">
      <c r="A28" s="16" t="n">
        <v>24</v>
      </c>
      <c r="B28" s="11" t="inlineStr">
        <is>
          <t>冬季抗联及戏雪</t>
        </is>
      </c>
      <c r="C28" s="8" t="inlineStr">
        <is>
          <t>冬季产品</t>
        </is>
      </c>
      <c r="D28" s="58" t="inlineStr">
        <is>
          <t>联营</t>
        </is>
      </c>
      <c r="E28" s="16" t="inlineStr">
        <is>
          <t>traffic</t>
        </is>
      </c>
      <c r="F28" s="43" t="n">
        <v>0.35</v>
      </c>
      <c r="G28" s="43" t="n">
        <v>0.1</v>
      </c>
      <c r="H28" s="33" t="n">
        <v>48</v>
      </c>
      <c r="I28" s="33" t="n">
        <v>0</v>
      </c>
      <c r="J28" s="33" t="n">
        <v>0</v>
      </c>
      <c r="K28" s="42" t="n">
        <v>365</v>
      </c>
      <c r="L28" s="43" t="n">
        <v>1</v>
      </c>
      <c r="M28" s="33" t="n">
        <v>0</v>
      </c>
      <c r="N28" s="33" t="n">
        <v>0</v>
      </c>
      <c r="O28" s="43" t="n">
        <v>1</v>
      </c>
      <c r="P28" s="33" t="n">
        <v>0</v>
      </c>
      <c r="Q28" s="43" t="n">
        <v>0.02</v>
      </c>
      <c r="R28" s="43" t="n">
        <v>0.02</v>
      </c>
      <c r="S28" s="43" t="n">
        <v>0.04</v>
      </c>
      <c r="T28" s="42" t="n">
        <v>0</v>
      </c>
      <c r="U28" s="61" t="inlineStr">
        <is>
          <t>填充</t>
        </is>
      </c>
      <c r="V28" s="8" t="inlineStr">
        <is>
          <t>表5抗联体验+儿童戏雪设备，季节性联营｜表5填充</t>
        </is>
      </c>
    </row>
    <row r="29" ht="32" customHeight="1">
      <c r="A29" s="16" t="n">
        <v>25</v>
      </c>
      <c r="B29" s="11" t="inlineStr">
        <is>
          <t>动物零食售卖</t>
        </is>
      </c>
      <c r="C29" s="8" t="inlineStr">
        <is>
          <t>亲子互动</t>
        </is>
      </c>
      <c r="D29" s="60" t="inlineStr">
        <is>
          <t>自营</t>
        </is>
      </c>
      <c r="E29" s="16" t="inlineStr">
        <is>
          <t>traffic</t>
        </is>
      </c>
      <c r="F29" s="43" t="n">
        <v>1</v>
      </c>
      <c r="G29" s="43" t="n">
        <v>0.1</v>
      </c>
      <c r="H29" s="33" t="n">
        <v>12</v>
      </c>
      <c r="I29" s="33" t="n">
        <v>0</v>
      </c>
      <c r="J29" s="33" t="n">
        <v>0</v>
      </c>
      <c r="K29" s="42" t="n">
        <v>365</v>
      </c>
      <c r="L29" s="43" t="n">
        <v>1</v>
      </c>
      <c r="M29" s="33" t="n">
        <v>0</v>
      </c>
      <c r="N29" s="33" t="n">
        <v>0</v>
      </c>
      <c r="O29" s="43" t="n">
        <v>1</v>
      </c>
      <c r="P29" s="33" t="n">
        <v>0</v>
      </c>
      <c r="Q29" s="43" t="n">
        <v>0.52</v>
      </c>
      <c r="R29" s="43" t="n">
        <v>0.02</v>
      </c>
      <c r="S29" s="43" t="n">
        <v>0.03</v>
      </c>
      <c r="T29" s="42" t="n">
        <v>1</v>
      </c>
      <c r="U29" s="61" t="inlineStr">
        <is>
          <t>填充</t>
        </is>
      </c>
      <c r="V29" s="8" t="inlineStr">
        <is>
          <t>表5零食亭10万元已列｜表5填充</t>
        </is>
      </c>
    </row>
    <row r="30" ht="32" customHeight="1">
      <c r="A30" s="16" t="n">
        <v>26</v>
      </c>
      <c r="B30" s="11" t="inlineStr">
        <is>
          <t>南入口停车场</t>
        </is>
      </c>
      <c r="C30" s="8" t="inlineStr">
        <is>
          <t>交通服务</t>
        </is>
      </c>
      <c r="D30" s="60" t="inlineStr">
        <is>
          <t>自营</t>
        </is>
      </c>
      <c r="E30" s="16" t="inlineStr">
        <is>
          <t>fixed</t>
        </is>
      </c>
      <c r="F30" s="43" t="n">
        <v>1</v>
      </c>
      <c r="G30" s="43" t="n">
        <v>0</v>
      </c>
      <c r="H30" s="33" t="n">
        <v>0</v>
      </c>
      <c r="I30" s="33" t="n">
        <v>0</v>
      </c>
      <c r="J30" s="33" t="n">
        <v>0</v>
      </c>
      <c r="K30" s="42" t="n">
        <v>365</v>
      </c>
      <c r="L30" s="43" t="n">
        <v>1</v>
      </c>
      <c r="M30" s="33" t="n">
        <v>0</v>
      </c>
      <c r="N30" s="33" t="n">
        <v>0</v>
      </c>
      <c r="O30" s="43" t="n">
        <v>1</v>
      </c>
      <c r="P30" s="33" t="n">
        <v>28</v>
      </c>
      <c r="Q30" s="43" t="n">
        <v>0.08</v>
      </c>
      <c r="R30" s="43" t="n">
        <v>0</v>
      </c>
      <c r="S30" s="43" t="n">
        <v>0.1</v>
      </c>
      <c r="T30" s="42" t="n">
        <v>1</v>
      </c>
      <c r="U30" s="61" t="inlineStr">
        <is>
          <t>填充</t>
        </is>
      </c>
      <c r="V30" s="8" t="inlineStr">
        <is>
          <t>600㎡车场提升后临停周转，不新增用地｜表5填充</t>
        </is>
      </c>
    </row>
    <row r="31" ht="32" customHeight="1">
      <c r="A31" s="16" t="n">
        <v>27</v>
      </c>
      <c r="B31" s="11" t="inlineStr">
        <is>
          <t>健身区档期出租</t>
        </is>
      </c>
      <c r="C31" s="8" t="inlineStr">
        <is>
          <t>运动休闲</t>
        </is>
      </c>
      <c r="D31" s="30" t="inlineStr">
        <is>
          <t>出租</t>
        </is>
      </c>
      <c r="E31" s="16" t="inlineStr">
        <is>
          <t>fixed</t>
        </is>
      </c>
      <c r="F31" s="43" t="n">
        <v>1</v>
      </c>
      <c r="G31" s="43" t="n">
        <v>0</v>
      </c>
      <c r="H31" s="33" t="n">
        <v>0</v>
      </c>
      <c r="I31" s="33" t="n">
        <v>0</v>
      </c>
      <c r="J31" s="33" t="n">
        <v>0</v>
      </c>
      <c r="K31" s="42" t="n">
        <v>365</v>
      </c>
      <c r="L31" s="43" t="n">
        <v>1</v>
      </c>
      <c r="M31" s="33" t="n">
        <v>0</v>
      </c>
      <c r="N31" s="33" t="n">
        <v>0</v>
      </c>
      <c r="O31" s="43" t="n">
        <v>1</v>
      </c>
      <c r="P31" s="33" t="n">
        <v>18</v>
      </c>
      <c r="Q31" s="43" t="n">
        <v>0</v>
      </c>
      <c r="R31" s="43" t="n">
        <v>0</v>
      </c>
      <c r="S31" s="43" t="n">
        <v>0.08</v>
      </c>
      <c r="T31" s="42" t="n">
        <v>0</v>
      </c>
      <c r="U31" s="61" t="inlineStr">
        <is>
          <t>填充</t>
        </is>
      </c>
      <c r="V31" s="8" t="inlineStr">
        <is>
          <t>表5健身区提升25万元，轻出租｜表5填充</t>
        </is>
      </c>
    </row>
    <row r="32" ht="32" customHeight="1">
      <c r="A32" s="16" t="n">
        <v>28</v>
      </c>
      <c r="B32" s="11" t="inlineStr">
        <is>
          <t>林学科普衍生品</t>
        </is>
      </c>
      <c r="C32" s="8" t="inlineStr">
        <is>
          <t>文创零售</t>
        </is>
      </c>
      <c r="D32" s="60" t="inlineStr">
        <is>
          <t>自营</t>
        </is>
      </c>
      <c r="E32" s="16" t="inlineStr">
        <is>
          <t>traffic</t>
        </is>
      </c>
      <c r="F32" s="43" t="n">
        <v>1</v>
      </c>
      <c r="G32" s="43" t="n">
        <v>0.04</v>
      </c>
      <c r="H32" s="33" t="n">
        <v>22</v>
      </c>
      <c r="I32" s="33" t="n">
        <v>0</v>
      </c>
      <c r="J32" s="33" t="n">
        <v>0</v>
      </c>
      <c r="K32" s="42" t="n">
        <v>365</v>
      </c>
      <c r="L32" s="43" t="n">
        <v>1</v>
      </c>
      <c r="M32" s="33" t="n">
        <v>0</v>
      </c>
      <c r="N32" s="33" t="n">
        <v>0</v>
      </c>
      <c r="O32" s="43" t="n">
        <v>1</v>
      </c>
      <c r="P32" s="33" t="n">
        <v>0</v>
      </c>
      <c r="Q32" s="43" t="n">
        <v>0.42</v>
      </c>
      <c r="R32" s="43" t="n">
        <v>0.04</v>
      </c>
      <c r="S32" s="43" t="n">
        <v>0.03</v>
      </c>
      <c r="T32" s="42" t="n">
        <v>1</v>
      </c>
      <c r="U32" s="61" t="inlineStr">
        <is>
          <t>填充</t>
        </is>
      </c>
      <c r="V32" s="8" t="inlineStr">
        <is>
          <t>表5林学科普35万元已列｜表5填充</t>
        </is>
      </c>
    </row>
    <row r="33" ht="32" customHeight="1">
      <c r="A33" s="16" t="n">
        <v>29</v>
      </c>
      <c r="B33" s="11" t="inlineStr">
        <is>
          <t>茶屋氧吧销售分成</t>
        </is>
      </c>
      <c r="C33" s="8" t="inlineStr">
        <is>
          <t>餐饮休闲</t>
        </is>
      </c>
      <c r="D33" s="58" t="inlineStr">
        <is>
          <t>联营</t>
        </is>
      </c>
      <c r="E33" s="16" t="inlineStr">
        <is>
          <t>traffic</t>
        </is>
      </c>
      <c r="F33" s="43" t="n">
        <v>0.15</v>
      </c>
      <c r="G33" s="43" t="n">
        <v>0.08</v>
      </c>
      <c r="H33" s="33" t="n">
        <v>82</v>
      </c>
      <c r="I33" s="33" t="n">
        <v>0</v>
      </c>
      <c r="J33" s="33" t="n">
        <v>0</v>
      </c>
      <c r="K33" s="42" t="n">
        <v>365</v>
      </c>
      <c r="L33" s="43" t="n">
        <v>1</v>
      </c>
      <c r="M33" s="33" t="n">
        <v>0</v>
      </c>
      <c r="N33" s="33" t="n">
        <v>0</v>
      </c>
      <c r="O33" s="43" t="n">
        <v>1</v>
      </c>
      <c r="P33" s="33" t="n">
        <v>0</v>
      </c>
      <c r="Q33" s="43" t="n">
        <v>0.02</v>
      </c>
      <c r="R33" s="43" t="n">
        <v>0.01</v>
      </c>
      <c r="S33" s="43" t="n">
        <v>0.03</v>
      </c>
      <c r="T33" s="42" t="n">
        <v>0</v>
      </c>
      <c r="U33" s="61" t="inlineStr">
        <is>
          <t>填充</t>
        </is>
      </c>
      <c r="V33" s="8" t="inlineStr">
        <is>
          <t>在保底租金之外，按茶饮流水15%分成，不新增改造｜表6联营填充</t>
        </is>
      </c>
    </row>
    <row r="34" ht="32" customHeight="1">
      <c r="A34" s="16" t="n">
        <v>30</v>
      </c>
      <c r="B34" s="11" t="inlineStr">
        <is>
          <t>栈道观景打卡</t>
        </is>
      </c>
      <c r="C34" s="8" t="inlineStr">
        <is>
          <t>观光打卡</t>
        </is>
      </c>
      <c r="D34" s="60" t="inlineStr">
        <is>
          <t>自营</t>
        </is>
      </c>
      <c r="E34" s="16" t="inlineStr">
        <is>
          <t>traffic</t>
        </is>
      </c>
      <c r="F34" s="43" t="n">
        <v>1</v>
      </c>
      <c r="G34" s="43" t="n">
        <v>0.08</v>
      </c>
      <c r="H34" s="33" t="n">
        <v>16</v>
      </c>
      <c r="I34" s="33" t="n">
        <v>0</v>
      </c>
      <c r="J34" s="33" t="n">
        <v>0</v>
      </c>
      <c r="K34" s="42" t="n">
        <v>365</v>
      </c>
      <c r="L34" s="43" t="n">
        <v>1</v>
      </c>
      <c r="M34" s="33" t="n">
        <v>0</v>
      </c>
      <c r="N34" s="33" t="n">
        <v>0</v>
      </c>
      <c r="O34" s="43" t="n">
        <v>1</v>
      </c>
      <c r="P34" s="33" t="n">
        <v>0</v>
      </c>
      <c r="Q34" s="43" t="n">
        <v>0.08</v>
      </c>
      <c r="R34" s="43" t="n">
        <v>0.02</v>
      </c>
      <c r="S34" s="43" t="n">
        <v>0.04</v>
      </c>
      <c r="T34" s="42" t="n">
        <v>0</v>
      </c>
      <c r="U34" s="61" t="inlineStr">
        <is>
          <t>填充</t>
        </is>
      </c>
      <c r="V34" s="8" t="inlineStr">
        <is>
          <t>表5观景台6处+山谷栈道已投资，售打卡票/预约时段｜表5填充</t>
        </is>
      </c>
    </row>
    <row r="36">
      <c r="A36" s="26" t="inlineStr">
        <is>
          <t>超级宝贝王专项参数（品牌加盟）</t>
        </is>
      </c>
    </row>
    <row r="37">
      <c r="A37" s="10" t="inlineStr">
        <is>
          <t>参数</t>
        </is>
      </c>
      <c r="B37" s="10" t="inlineStr">
        <is>
          <t>数值</t>
        </is>
      </c>
      <c r="C37" s="10" t="inlineStr">
        <is>
          <t>说明</t>
        </is>
      </c>
      <c r="D37" s="10" t="inlineStr"/>
      <c r="E37" s="10" t="inlineStr"/>
      <c r="F37" s="10" t="inlineStr"/>
      <c r="G37" s="10" t="inlineStr"/>
      <c r="H37" s="10" t="inlineStr"/>
    </row>
    <row r="38">
      <c r="A38" s="11" t="inlineStr">
        <is>
          <t>研学客流占全园</t>
        </is>
      </c>
      <c r="B38" s="43" t="n">
        <v>0.24</v>
      </c>
      <c r="C38" s="8" t="inlineStr">
        <is>
          <t>封顶20万人</t>
        </is>
      </c>
      <c r="D38" s="5" t="n"/>
      <c r="E38" s="5" t="n"/>
      <c r="F38" s="5" t="n"/>
      <c r="G38" s="5" t="n"/>
      <c r="H38" s="6" t="n"/>
    </row>
    <row r="39">
      <c r="A39" s="11" t="inlineStr">
        <is>
          <t>一般客流占全园</t>
        </is>
      </c>
      <c r="B39" s="43" t="n">
        <v>0.24</v>
      </c>
      <c r="C39" s="8" t="inlineStr">
        <is>
          <t>与研学合计封顶40万人</t>
        </is>
      </c>
      <c r="D39" s="5" t="n"/>
      <c r="E39" s="5" t="n"/>
      <c r="F39" s="5" t="n"/>
      <c r="G39" s="5" t="n"/>
      <c r="H39" s="6" t="n"/>
    </row>
    <row r="40">
      <c r="A40" s="11" t="inlineStr">
        <is>
          <t>研学客单（元）</t>
        </is>
      </c>
      <c r="B40" s="33" t="n">
        <v>35</v>
      </c>
      <c r="C40" s="8" t="inlineStr"/>
      <c r="D40" s="5" t="n"/>
      <c r="E40" s="5" t="n"/>
      <c r="F40" s="5" t="n"/>
      <c r="G40" s="5" t="n"/>
      <c r="H40" s="6" t="n"/>
    </row>
    <row r="41">
      <c r="A41" s="11" t="inlineStr">
        <is>
          <t>一般客单（元）</t>
        </is>
      </c>
      <c r="B41" s="33" t="n">
        <v>48</v>
      </c>
      <c r="C41" s="8" t="inlineStr"/>
      <c r="D41" s="5" t="n"/>
      <c r="E41" s="5" t="n"/>
      <c r="F41" s="5" t="n"/>
      <c r="G41" s="5" t="n"/>
      <c r="H41" s="6" t="n"/>
    </row>
    <row r="42">
      <c r="A42" s="11" t="inlineStr">
        <is>
          <t>二消转化率</t>
        </is>
      </c>
      <c r="B42" s="43" t="n">
        <v>0.32</v>
      </c>
      <c r="C42" s="8" t="inlineStr"/>
      <c r="D42" s="5" t="n"/>
      <c r="E42" s="5" t="n"/>
      <c r="F42" s="5" t="n"/>
      <c r="G42" s="5" t="n"/>
      <c r="H42" s="6" t="n"/>
    </row>
    <row r="43">
      <c r="A43" s="11" t="inlineStr">
        <is>
          <t>二消客单（元）</t>
        </is>
      </c>
      <c r="B43" s="33" t="n">
        <v>18</v>
      </c>
      <c r="C43" s="8" t="inlineStr"/>
      <c r="D43" s="5" t="n"/>
      <c r="E43" s="5" t="n"/>
      <c r="F43" s="5" t="n"/>
      <c r="G43" s="5" t="n"/>
      <c r="H43" s="6" t="n"/>
    </row>
    <row r="44">
      <c r="A44" s="11" t="inlineStr">
        <is>
          <t>万达门票分成</t>
        </is>
      </c>
      <c r="B44" s="43" t="n">
        <v>0.1</v>
      </c>
      <c r="C44" s="8" t="inlineStr">
        <is>
          <t>仅门票/体验，不含二消</t>
        </is>
      </c>
      <c r="D44" s="5" t="n"/>
      <c r="E44" s="5" t="n"/>
      <c r="F44" s="5" t="n"/>
      <c r="G44" s="5" t="n"/>
      <c r="H44" s="6" t="n"/>
    </row>
    <row r="45">
      <c r="A45" s="11" t="inlineStr">
        <is>
          <t>线上客流占比</t>
        </is>
      </c>
      <c r="B45" s="43" t="n">
        <v>0.7</v>
      </c>
      <c r="C45" s="8" t="inlineStr">
        <is>
          <t>仅一般客流</t>
        </is>
      </c>
      <c r="D45" s="5" t="n"/>
      <c r="E45" s="5" t="n"/>
      <c r="F45" s="5" t="n"/>
      <c r="G45" s="5" t="n"/>
      <c r="H45" s="6" t="n"/>
    </row>
    <row r="46">
      <c r="A46" s="11" t="inlineStr">
        <is>
          <t>线上佣金率</t>
        </is>
      </c>
      <c r="B46" s="43" t="n">
        <v>0.1</v>
      </c>
      <c r="C46" s="8" t="inlineStr"/>
      <c r="D46" s="5" t="n"/>
      <c r="E46" s="5" t="n"/>
      <c r="F46" s="5" t="n"/>
      <c r="G46" s="5" t="n"/>
      <c r="H46" s="6" t="n"/>
    </row>
    <row r="47">
      <c r="A47" s="11" t="inlineStr">
        <is>
          <t>销售提成率</t>
        </is>
      </c>
      <c r="B47" s="43" t="n">
        <v>0.02</v>
      </c>
      <c r="C47" s="8" t="inlineStr">
        <is>
          <t>总流水</t>
        </is>
      </c>
      <c r="D47" s="5" t="n"/>
      <c r="E47" s="5" t="n"/>
      <c r="F47" s="5" t="n"/>
      <c r="G47" s="5" t="n"/>
      <c r="H47" s="6" t="n"/>
    </row>
    <row r="48">
      <c r="A48" s="11" t="inlineStr">
        <is>
          <t>维护费率</t>
        </is>
      </c>
      <c r="B48" s="43" t="n">
        <v>0.08</v>
      </c>
      <c r="C48" s="8" t="inlineStr">
        <is>
          <t>门票流水，已低于原10%</t>
        </is>
      </c>
      <c r="D48" s="5" t="n"/>
      <c r="E48" s="5" t="n"/>
      <c r="F48" s="5" t="n"/>
      <c r="G48" s="5" t="n"/>
      <c r="H48" s="6" t="n"/>
    </row>
    <row r="49">
      <c r="A49" s="11" t="inlineStr">
        <is>
          <t>二消成本率</t>
        </is>
      </c>
      <c r="B49" s="43" t="n">
        <v>0.58</v>
      </c>
      <c r="C49" s="8" t="inlineStr"/>
      <c r="D49" s="5" t="n"/>
      <c r="E49" s="5" t="n"/>
      <c r="F49" s="5" t="n"/>
      <c r="G49" s="5" t="n"/>
      <c r="H49" s="6" t="n"/>
    </row>
    <row r="50">
      <c r="A50" s="11" t="inlineStr">
        <is>
          <t>日常营销费率</t>
        </is>
      </c>
      <c r="B50" s="43" t="n">
        <v>0.04</v>
      </c>
      <c r="C50" s="8" t="inlineStr">
        <is>
          <t>门票流水</t>
        </is>
      </c>
      <c r="D50" s="5" t="n"/>
      <c r="E50" s="5" t="n"/>
      <c r="F50" s="5" t="n"/>
      <c r="G50" s="5" t="n"/>
      <c r="H50" s="6" t="n"/>
    </row>
    <row r="51">
      <c r="A51" s="11" t="inlineStr">
        <is>
          <t>水电（万元/万人）</t>
        </is>
      </c>
      <c r="B51" s="33" t="n">
        <v>1.65</v>
      </c>
      <c r="C51" s="8" t="inlineStr"/>
      <c r="D51" s="5" t="n"/>
      <c r="E51" s="5" t="n"/>
      <c r="F51" s="5" t="n"/>
      <c r="G51" s="5" t="n"/>
      <c r="H51" s="6" t="n"/>
    </row>
    <row r="52">
      <c r="A52" s="11" t="inlineStr">
        <is>
          <t>保安保洁（万元）</t>
        </is>
      </c>
      <c r="B52" s="33" t="n">
        <v>28</v>
      </c>
      <c r="C52" s="8" t="inlineStr">
        <is>
          <t>项目内专项，不与公共重复</t>
        </is>
      </c>
      <c r="D52" s="5" t="n"/>
      <c r="E52" s="5" t="n"/>
      <c r="F52" s="5" t="n"/>
      <c r="G52" s="5" t="n"/>
      <c r="H52" s="6" t="n"/>
    </row>
    <row r="54">
      <c r="A54" s="13" t="inlineStr">
        <is>
          <t>公共成本参数（达产年=75万人，其余按人流线性）</t>
        </is>
      </c>
    </row>
    <row r="55">
      <c r="A55" s="10" t="inlineStr">
        <is>
          <t>参数</t>
        </is>
      </c>
      <c r="B55" s="10" t="inlineStr">
        <is>
          <t>数值</t>
        </is>
      </c>
      <c r="C55" s="10" t="inlineStr">
        <is>
          <t>说明</t>
        </is>
      </c>
    </row>
    <row r="56">
      <c r="A56" s="11" t="inlineStr">
        <is>
          <t>公共水电达产（万元）</t>
        </is>
      </c>
      <c r="B56" s="33" t="n">
        <v>95</v>
      </c>
      <c r="C56" s="8" t="inlineStr">
        <is>
          <t>按人流/75缩放</t>
        </is>
      </c>
    </row>
    <row r="57">
      <c r="A57" s="11" t="inlineStr">
        <is>
          <t>全园营销费率</t>
        </is>
      </c>
      <c r="B57" s="43" t="n">
        <v>0.018</v>
      </c>
      <c r="C57" s="8" t="inlineStr">
        <is>
          <t>与项目渠道不重复叠高</t>
        </is>
      </c>
    </row>
    <row r="58">
      <c r="A58" s="11" t="inlineStr">
        <is>
          <t>营销下限（万元）</t>
        </is>
      </c>
      <c r="B58" s="33" t="n">
        <v>90</v>
      </c>
      <c r="C58" s="8" t="inlineStr"/>
    </row>
    <row r="59">
      <c r="A59" s="11" t="inlineStr">
        <is>
          <t>维修保养达产（万元）</t>
        </is>
      </c>
      <c r="B59" s="33" t="n">
        <v>70</v>
      </c>
      <c r="C59" s="8" t="inlineStr"/>
    </row>
    <row r="60">
      <c r="A60" s="11" t="inlineStr">
        <is>
          <t>保险（万元）</t>
        </is>
      </c>
      <c r="B60" s="33" t="n">
        <v>22</v>
      </c>
      <c r="C60" s="8" t="inlineStr"/>
    </row>
    <row r="61">
      <c r="A61" s="11" t="inlineStr">
        <is>
          <t>办公杂费（万元）</t>
        </is>
      </c>
      <c r="B61" s="33" t="n">
        <v>28</v>
      </c>
      <c r="C61" s="8" t="inlineStr"/>
    </row>
    <row r="62">
      <c r="A62" s="11" t="inlineStr">
        <is>
          <t>动物饲料医疗（万元）</t>
        </is>
      </c>
      <c r="B62" s="33" t="n">
        <v>48</v>
      </c>
      <c r="C62" s="8" t="inlineStr">
        <is>
          <t>既有55只/13品种，不新增笼舍以外项目</t>
        </is>
      </c>
    </row>
    <row r="63">
      <c r="A63" s="11" t="inlineStr">
        <is>
          <t>所得税率</t>
        </is>
      </c>
      <c r="B63" s="43" t="n">
        <v>0.25</v>
      </c>
      <c r="C63" s="8" t="inlineStr"/>
    </row>
    <row r="64">
      <c r="A64" s="11" t="inlineStr">
        <is>
          <t>折旧残值率</t>
        </is>
      </c>
      <c r="B64" s="43" t="n">
        <v>0.05</v>
      </c>
      <c r="C64" s="8" t="inlineStr">
        <is>
          <t>总投资×95%/16年</t>
        </is>
      </c>
    </row>
    <row r="65">
      <c r="A65" s="11" t="inlineStr">
        <is>
          <t>还本年限（年）</t>
        </is>
      </c>
      <c r="B65" s="33" t="n">
        <v>10</v>
      </c>
      <c r="C65" s="8" t="inlineStr">
        <is>
          <t>经营期等额本金</t>
        </is>
      </c>
    </row>
  </sheetData>
  <autoFilter ref="A4:V34"/>
  <mergeCells count="20">
    <mergeCell ref="C41:H41"/>
    <mergeCell ref="C47:H47"/>
    <mergeCell ref="C50:H50"/>
    <mergeCell ref="C44:H44"/>
    <mergeCell ref="C40:H40"/>
    <mergeCell ref="A36:H36"/>
    <mergeCell ref="C43:H43"/>
    <mergeCell ref="C51:H51"/>
    <mergeCell ref="C46:H46"/>
    <mergeCell ref="C52:H52"/>
    <mergeCell ref="A54:H54"/>
    <mergeCell ref="C39:H39"/>
    <mergeCell ref="C48:H48"/>
    <mergeCell ref="C38:H38"/>
    <mergeCell ref="A1:P1"/>
    <mergeCell ref="C49:H49"/>
    <mergeCell ref="C42:H42"/>
    <mergeCell ref="C45:H45"/>
    <mergeCell ref="A3:P3"/>
    <mergeCell ref="A2:P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8" customWidth="1" min="4" max="4"/>
    <col width="16" customWidth="1" min="5" max="5"/>
    <col width="36" customWidth="1" min="6" max="6"/>
    <col width="28" customWidth="1" min="7" max="7"/>
    <col width="16" customWidth="1" min="8" max="8"/>
  </cols>
  <sheetData>
    <row r="1" ht="28" customHeight="1">
      <c r="A1" s="1" t="inlineStr">
        <is>
          <t>人力成本修正｜通化地区全包年薪（含单位社保公积金）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3">
      <c r="A3" s="62" t="inlineStr">
        <is>
          <t>修正要点：①联营项目不再重复计提厨房/演职/店员固定人工；②表6列明编制逐岗落地；③宝贝王26人拆主管/技工/营运，约202.8万元（原216.72万元）；④既有动物园保育单独列，不新增项目；⑤建设期人力含在300万管理费中，经营编制自第3年计。</t>
        </is>
      </c>
    </row>
    <row r="4">
      <c r="A4" s="4" t="inlineStr">
        <is>
          <t>类别</t>
        </is>
      </c>
      <c r="B4" s="4" t="inlineStr">
        <is>
          <t>岗位</t>
        </is>
      </c>
      <c r="C4" s="4" t="inlineStr">
        <is>
          <t>人数</t>
        </is>
      </c>
      <c r="D4" s="4" t="inlineStr">
        <is>
          <t>年成本（万元/人）</t>
        </is>
      </c>
      <c r="E4" s="4" t="inlineStr">
        <is>
          <t>年合计（万元）</t>
        </is>
      </c>
      <c r="F4" s="4" t="inlineStr">
        <is>
          <t>备注</t>
        </is>
      </c>
      <c r="G4" s="4" t="inlineStr">
        <is>
          <t>口径</t>
        </is>
      </c>
      <c r="H4" s="4" t="inlineStr">
        <is>
          <t>对应项目</t>
        </is>
      </c>
    </row>
    <row r="5">
      <c r="A5" s="13" t="inlineStr">
        <is>
          <t>公共</t>
        </is>
      </c>
      <c r="B5" s="8" t="inlineStr">
        <is>
          <t>园区负责人</t>
        </is>
      </c>
      <c r="C5" s="42" t="n">
        <v>1</v>
      </c>
      <c r="D5" s="33" t="n">
        <v>18</v>
      </c>
      <c r="E5" s="12">
        <f>C5*D5</f>
        <v/>
      </c>
      <c r="F5" s="8" t="inlineStr">
        <is>
          <t>建设期后到岗</t>
        </is>
      </c>
      <c r="G5" s="8" t="inlineStr">
        <is>
          <t>12个月全包，含单位社保约38%</t>
        </is>
      </c>
      <c r="H5" s="8" t="inlineStr"/>
    </row>
    <row r="6">
      <c r="A6" s="13" t="inlineStr">
        <is>
          <t>公共</t>
        </is>
      </c>
      <c r="B6" s="8" t="inlineStr">
        <is>
          <t>运营副职</t>
        </is>
      </c>
      <c r="C6" s="42" t="n">
        <v>1</v>
      </c>
      <c r="D6" s="33" t="n">
        <v>15</v>
      </c>
      <c r="E6" s="12">
        <f>C6*D6</f>
        <v/>
      </c>
      <c r="F6" s="8" t="inlineStr"/>
      <c r="G6" s="8" t="inlineStr">
        <is>
          <t>12个月全包，含单位社保约38%</t>
        </is>
      </c>
      <c r="H6" s="8" t="inlineStr"/>
    </row>
    <row r="7">
      <c r="A7" s="13" t="inlineStr">
        <is>
          <t>公共</t>
        </is>
      </c>
      <c r="B7" s="8" t="inlineStr">
        <is>
          <t>财务/出纳</t>
        </is>
      </c>
      <c r="C7" s="42" t="n">
        <v>2</v>
      </c>
      <c r="D7" s="33" t="n">
        <v>9</v>
      </c>
      <c r="E7" s="12">
        <f>C7*D7</f>
        <v/>
      </c>
      <c r="F7" s="8" t="inlineStr"/>
      <c r="G7" s="8" t="inlineStr">
        <is>
          <t>12个月全包，含单位社保约38%</t>
        </is>
      </c>
      <c r="H7" s="8" t="inlineStr"/>
    </row>
    <row r="8">
      <c r="A8" s="13" t="inlineStr">
        <is>
          <t>公共</t>
        </is>
      </c>
      <c r="B8" s="8" t="inlineStr">
        <is>
          <t>行政人事</t>
        </is>
      </c>
      <c r="C8" s="42" t="n">
        <v>2</v>
      </c>
      <c r="D8" s="33" t="n">
        <v>8</v>
      </c>
      <c r="E8" s="12">
        <f>C8*D8</f>
        <v/>
      </c>
      <c r="F8" s="8" t="inlineStr"/>
      <c r="G8" s="8" t="inlineStr">
        <is>
          <t>12个月全包，含单位社保约38%</t>
        </is>
      </c>
      <c r="H8" s="8" t="inlineStr"/>
    </row>
    <row r="9">
      <c r="A9" s="13" t="inlineStr">
        <is>
          <t>公共</t>
        </is>
      </c>
      <c r="B9" s="8" t="inlineStr">
        <is>
          <t>企划营销</t>
        </is>
      </c>
      <c r="C9" s="42" t="n">
        <v>2</v>
      </c>
      <c r="D9" s="33" t="n">
        <v>9</v>
      </c>
      <c r="E9" s="12">
        <f>C9*D9</f>
        <v/>
      </c>
      <c r="F9" s="8" t="inlineStr"/>
      <c r="G9" s="8" t="inlineStr">
        <is>
          <t>12个月全包，含单位社保约38%</t>
        </is>
      </c>
      <c r="H9" s="8" t="inlineStr"/>
    </row>
    <row r="10">
      <c r="A10" s="13" t="inlineStr">
        <is>
          <t>公共</t>
        </is>
      </c>
      <c r="B10" s="8" t="inlineStr">
        <is>
          <t>票务客服</t>
        </is>
      </c>
      <c r="C10" s="42" t="n">
        <v>6</v>
      </c>
      <c r="D10" s="33" t="n">
        <v>7.2</v>
      </c>
      <c r="E10" s="12">
        <f>C10*D10</f>
        <v/>
      </c>
      <c r="F10" s="8" t="inlineStr"/>
      <c r="G10" s="8" t="inlineStr">
        <is>
          <t>12个月全包，含单位社保约38%</t>
        </is>
      </c>
      <c r="H10" s="8" t="inlineStr"/>
    </row>
    <row r="11">
      <c r="A11" s="13" t="inlineStr">
        <is>
          <t>公共</t>
        </is>
      </c>
      <c r="B11" s="8" t="inlineStr">
        <is>
          <t>安保</t>
        </is>
      </c>
      <c r="C11" s="42" t="n">
        <v>7</v>
      </c>
      <c r="D11" s="33" t="n">
        <v>7.2</v>
      </c>
      <c r="E11" s="12">
        <f>C11*D11</f>
        <v/>
      </c>
      <c r="F11" s="8" t="inlineStr">
        <is>
          <t>两班，旺季用弹性补</t>
        </is>
      </c>
      <c r="G11" s="8" t="inlineStr">
        <is>
          <t>12个月全包，含单位社保约38%</t>
        </is>
      </c>
      <c r="H11" s="8" t="inlineStr"/>
    </row>
    <row r="12">
      <c r="A12" s="13" t="inlineStr">
        <is>
          <t>公共</t>
        </is>
      </c>
      <c r="B12" s="8" t="inlineStr">
        <is>
          <t>保洁</t>
        </is>
      </c>
      <c r="C12" s="42" t="n">
        <v>5</v>
      </c>
      <c r="D12" s="33" t="n">
        <v>6.5</v>
      </c>
      <c r="E12" s="12">
        <f>C12*D12</f>
        <v/>
      </c>
      <c r="F12" s="8" t="inlineStr">
        <is>
          <t>核心节点保洁，其余外包进维修</t>
        </is>
      </c>
      <c r="G12" s="8" t="inlineStr">
        <is>
          <t>12个月全包，含单位社保约38%</t>
        </is>
      </c>
      <c r="H12" s="8" t="inlineStr"/>
    </row>
    <row r="13">
      <c r="A13" s="13" t="inlineStr">
        <is>
          <t>公共</t>
        </is>
      </c>
      <c r="B13" s="8" t="inlineStr">
        <is>
          <t>绿化</t>
        </is>
      </c>
      <c r="C13" s="42" t="n">
        <v>3</v>
      </c>
      <c r="D13" s="33" t="n">
        <v>6.8</v>
      </c>
      <c r="E13" s="12">
        <f>C13*D13</f>
        <v/>
      </c>
      <c r="F13" s="8" t="inlineStr"/>
      <c r="G13" s="8" t="inlineStr">
        <is>
          <t>12个月全包，含单位社保约38%</t>
        </is>
      </c>
      <c r="H13" s="8" t="inlineStr"/>
    </row>
    <row r="14">
      <c r="A14" s="13" t="inlineStr">
        <is>
          <t>公共</t>
        </is>
      </c>
      <c r="B14" s="8" t="inlineStr">
        <is>
          <t>维修电工</t>
        </is>
      </c>
      <c r="C14" s="42" t="n">
        <v>3</v>
      </c>
      <c r="D14" s="33" t="n">
        <v>8.5</v>
      </c>
      <c r="E14" s="12">
        <f>C14*D14</f>
        <v/>
      </c>
      <c r="F14" s="8" t="inlineStr"/>
      <c r="G14" s="8" t="inlineStr">
        <is>
          <t>12个月全包，含单位社保约38%</t>
        </is>
      </c>
      <c r="H14" s="8" t="inlineStr"/>
    </row>
    <row r="15">
      <c r="A15" s="13" t="inlineStr">
        <is>
          <t>公共</t>
        </is>
      </c>
      <c r="B15" s="8" t="inlineStr">
        <is>
          <t>动物保育员</t>
        </is>
      </c>
      <c r="C15" s="42" t="n">
        <v>4</v>
      </c>
      <c r="D15" s="33" t="n">
        <v>7.5</v>
      </c>
      <c r="E15" s="12">
        <f>C15*D15</f>
        <v/>
      </c>
      <c r="F15" s="8" t="inlineStr">
        <is>
          <t>既有55只动物，不新增项目</t>
        </is>
      </c>
      <c r="G15" s="8" t="inlineStr">
        <is>
          <t>12个月全包，含单位社保约38%</t>
        </is>
      </c>
      <c r="H15" s="8" t="inlineStr"/>
    </row>
    <row r="16">
      <c r="A16" s="26" t="inlineStr">
        <is>
          <t>加盟</t>
        </is>
      </c>
      <c r="B16" s="8" t="inlineStr">
        <is>
          <t>宝贝王主管</t>
        </is>
      </c>
      <c r="C16" s="42" t="n">
        <v>2</v>
      </c>
      <c r="D16" s="33" t="n">
        <v>9.6</v>
      </c>
      <c r="E16" s="12">
        <f>C16*D16</f>
        <v/>
      </c>
      <c r="F16" s="8" t="inlineStr">
        <is>
          <t>表6配备26人</t>
        </is>
      </c>
      <c r="G16" s="8" t="inlineStr">
        <is>
          <t>12个月全包，含单位社保约38%</t>
        </is>
      </c>
      <c r="H16" s="8" t="inlineStr"/>
    </row>
    <row r="17">
      <c r="A17" s="26" t="inlineStr">
        <is>
          <t>加盟</t>
        </is>
      </c>
      <c r="B17" s="8" t="inlineStr">
        <is>
          <t>宝贝王设备技工</t>
        </is>
      </c>
      <c r="C17" s="42" t="n">
        <v>6</v>
      </c>
      <c r="D17" s="33" t="n">
        <v>7.8</v>
      </c>
      <c r="E17" s="12">
        <f>C17*D17</f>
        <v/>
      </c>
      <c r="F17" s="8" t="inlineStr"/>
      <c r="G17" s="8" t="inlineStr">
        <is>
          <t>12个月全包，含单位社保约38%</t>
        </is>
      </c>
      <c r="H17" s="8" t="inlineStr"/>
    </row>
    <row r="18">
      <c r="A18" s="26" t="inlineStr">
        <is>
          <t>加盟</t>
        </is>
      </c>
      <c r="B18" s="8" t="inlineStr">
        <is>
          <t>宝贝王营运员</t>
        </is>
      </c>
      <c r="C18" s="42" t="n">
        <v>18</v>
      </c>
      <c r="D18" s="33" t="n">
        <v>7.6</v>
      </c>
      <c r="E18" s="12">
        <f>C18*D18</f>
        <v/>
      </c>
      <c r="F18" s="8" t="inlineStr"/>
      <c r="G18" s="8" t="inlineStr">
        <is>
          <t>12个月全包，含单位社保约38%</t>
        </is>
      </c>
      <c r="H18" s="8" t="inlineStr"/>
    </row>
    <row r="19">
      <c r="A19" s="25" t="inlineStr">
        <is>
          <t>自营</t>
        </is>
      </c>
      <c r="B19" s="8" t="inlineStr">
        <is>
          <t>礼品店员</t>
        </is>
      </c>
      <c r="C19" s="42" t="n">
        <v>3</v>
      </c>
      <c r="D19" s="33" t="n">
        <v>7.2</v>
      </c>
      <c r="E19" s="12">
        <f>C19*D19</f>
        <v/>
      </c>
      <c r="F19" s="8" t="inlineStr">
        <is>
          <t>表6配备3人</t>
        </is>
      </c>
      <c r="G19" s="8" t="inlineStr">
        <is>
          <t>12个月全包，含单位社保约38%</t>
        </is>
      </c>
      <c r="H19" s="8" t="inlineStr"/>
    </row>
    <row r="20">
      <c r="A20" s="25" t="inlineStr">
        <is>
          <t>自营</t>
        </is>
      </c>
      <c r="B20" s="8" t="inlineStr">
        <is>
          <t>婚礼执行</t>
        </is>
      </c>
      <c r="C20" s="42" t="n">
        <v>3</v>
      </c>
      <c r="D20" s="33" t="n">
        <v>8</v>
      </c>
      <c r="E20" s="12">
        <f>C20*D20</f>
        <v/>
      </c>
      <c r="F20" s="8" t="inlineStr">
        <is>
          <t>表6配备3人</t>
        </is>
      </c>
      <c r="G20" s="8" t="inlineStr">
        <is>
          <t>12个月全包，含单位社保约38%</t>
        </is>
      </c>
      <c r="H20" s="8" t="inlineStr"/>
    </row>
    <row r="21">
      <c r="A21" s="25" t="inlineStr">
        <is>
          <t>自营</t>
        </is>
      </c>
      <c r="B21" s="8" t="inlineStr">
        <is>
          <t>酒庄店员</t>
        </is>
      </c>
      <c r="C21" s="42" t="n">
        <v>3</v>
      </c>
      <c r="D21" s="33" t="n">
        <v>7.5</v>
      </c>
      <c r="E21" s="12">
        <f>C21*D21</f>
        <v/>
      </c>
      <c r="F21" s="8" t="inlineStr">
        <is>
          <t>表6配备3人</t>
        </is>
      </c>
      <c r="G21" s="8" t="inlineStr">
        <is>
          <t>12个月全包，含单位社保约38%</t>
        </is>
      </c>
      <c r="H21" s="8" t="inlineStr"/>
    </row>
    <row r="22">
      <c r="A22" s="25" t="inlineStr">
        <is>
          <t>自营</t>
        </is>
      </c>
      <c r="B22" s="8" t="inlineStr">
        <is>
          <t>观光车司机</t>
        </is>
      </c>
      <c r="C22" s="42" t="n">
        <v>8</v>
      </c>
      <c r="D22" s="33" t="n">
        <v>7.5</v>
      </c>
      <c r="E22" s="12">
        <f>C22*D22</f>
        <v/>
      </c>
      <c r="F22" s="8" t="inlineStr">
        <is>
          <t>8车</t>
        </is>
      </c>
      <c r="G22" s="8" t="inlineStr">
        <is>
          <t>12个月全包，含单位社保约38%</t>
        </is>
      </c>
      <c r="H22" s="8" t="inlineStr"/>
    </row>
    <row r="23">
      <c r="A23" s="25" t="inlineStr">
        <is>
          <t>自营</t>
        </is>
      </c>
      <c r="B23" s="8" t="inlineStr">
        <is>
          <t>交通调度</t>
        </is>
      </c>
      <c r="C23" s="42" t="n">
        <v>2</v>
      </c>
      <c r="D23" s="33" t="n">
        <v>8</v>
      </c>
      <c r="E23" s="12">
        <f>C23*D23</f>
        <v/>
      </c>
      <c r="F23" s="8" t="inlineStr">
        <is>
          <t>表6交通共10人</t>
        </is>
      </c>
      <c r="G23" s="8" t="inlineStr">
        <is>
          <t>12个月全包，含单位社保约38%</t>
        </is>
      </c>
      <c r="H23" s="8" t="inlineStr"/>
    </row>
    <row r="24">
      <c r="A24" s="24" t="inlineStr">
        <is>
          <t>联营协助</t>
        </is>
      </c>
      <c r="B24" s="8" t="inlineStr">
        <is>
          <t>市集管理</t>
        </is>
      </c>
      <c r="C24" s="42" t="n">
        <v>2</v>
      </c>
      <c r="D24" s="33" t="n">
        <v>7.5</v>
      </c>
      <c r="E24" s="12">
        <f>C24*D24</f>
        <v/>
      </c>
      <c r="F24" s="8" t="inlineStr">
        <is>
          <t>表6配备2人</t>
        </is>
      </c>
      <c r="G24" s="8" t="inlineStr">
        <is>
          <t>12个月全包，含单位社保约38%</t>
        </is>
      </c>
      <c r="H24" s="8" t="inlineStr"/>
    </row>
    <row r="25">
      <c r="A25" s="24" t="inlineStr">
        <is>
          <t>联营协助</t>
        </is>
      </c>
      <c r="B25" s="8" t="inlineStr">
        <is>
          <t>剧场场务</t>
        </is>
      </c>
      <c r="C25" s="42" t="n">
        <v>1</v>
      </c>
      <c r="D25" s="33" t="n">
        <v>7.5</v>
      </c>
      <c r="E25" s="12">
        <f>C25*D25</f>
        <v/>
      </c>
      <c r="F25" s="8" t="inlineStr">
        <is>
          <t>表6配备1人</t>
        </is>
      </c>
      <c r="G25" s="8" t="inlineStr">
        <is>
          <t>12个月全包，含单位社保约38%</t>
        </is>
      </c>
      <c r="H25" s="8" t="inlineStr"/>
    </row>
    <row r="26">
      <c r="A26" s="25" t="inlineStr">
        <is>
          <t>自营</t>
        </is>
      </c>
      <c r="B26" s="8" t="inlineStr">
        <is>
          <t>研学讲解</t>
        </is>
      </c>
      <c r="C26" s="42" t="n">
        <v>2</v>
      </c>
      <c r="D26" s="33" t="n">
        <v>8</v>
      </c>
      <c r="E26" s="12">
        <f>C26*D26</f>
        <v/>
      </c>
      <c r="F26" s="8" t="inlineStr">
        <is>
          <t>展馆自营填充</t>
        </is>
      </c>
      <c r="G26" s="8" t="inlineStr">
        <is>
          <t>12个月全包，含单位社保约38%</t>
        </is>
      </c>
      <c r="H26" s="8" t="inlineStr"/>
    </row>
    <row r="27">
      <c r="A27" s="25" t="inlineStr">
        <is>
          <t>自营</t>
        </is>
      </c>
      <c r="B27" s="8" t="inlineStr">
        <is>
          <t>夜游值班(年折算)</t>
        </is>
      </c>
      <c r="C27" s="42" t="n">
        <v>4</v>
      </c>
      <c r="D27" s="33" t="n">
        <v>4.5</v>
      </c>
      <c r="E27" s="12">
        <f>C27*D27</f>
        <v/>
      </c>
      <c r="F27" s="8" t="inlineStr">
        <is>
          <t>季节工折年</t>
        </is>
      </c>
      <c r="G27" s="8" t="inlineStr">
        <is>
          <t>12个月全包，含单位社保约38%</t>
        </is>
      </c>
      <c r="H27" s="8" t="inlineStr"/>
    </row>
    <row r="28">
      <c r="A28" s="25" t="inlineStr">
        <is>
          <t>自营</t>
        </is>
      </c>
      <c r="B28" s="8" t="inlineStr">
        <is>
          <t>花海/零食/文创兼岗</t>
        </is>
      </c>
      <c r="C28" s="42" t="n">
        <v>3</v>
      </c>
      <c r="D28" s="33" t="n">
        <v>6.8</v>
      </c>
      <c r="E28" s="12">
        <f>C28*D28</f>
        <v/>
      </c>
      <c r="F28" s="8" t="inlineStr">
        <is>
          <t>轻运营兼岗</t>
        </is>
      </c>
      <c r="G28" s="8" t="inlineStr">
        <is>
          <t>12个月全包，含单位社保约38%</t>
        </is>
      </c>
      <c r="H28" s="8" t="inlineStr"/>
    </row>
    <row r="29">
      <c r="A29" s="25" t="inlineStr">
        <is>
          <t>自营</t>
        </is>
      </c>
      <c r="B29" s="8" t="inlineStr">
        <is>
          <t>停车场值守</t>
        </is>
      </c>
      <c r="C29" s="42" t="n">
        <v>1</v>
      </c>
      <c r="D29" s="33" t="n">
        <v>6.8</v>
      </c>
      <c r="E29" s="12">
        <f>C29*D29</f>
        <v/>
      </c>
      <c r="F29" s="8" t="inlineStr"/>
      <c r="G29" s="8" t="inlineStr">
        <is>
          <t>12个月全包，含单位社保约38%</t>
        </is>
      </c>
      <c r="H29" s="8" t="inlineStr"/>
    </row>
    <row r="30">
      <c r="A30" s="13" t="inlineStr">
        <is>
          <t>公共</t>
        </is>
      </c>
      <c r="B30" s="8" t="inlineStr">
        <is>
          <t>旺季弹性用工</t>
        </is>
      </c>
      <c r="C30" s="42" t="n">
        <v>1</v>
      </c>
      <c r="D30" s="33" t="n">
        <v>18</v>
      </c>
      <c r="E30" s="12">
        <f>C30*D30</f>
        <v/>
      </c>
      <c r="F30" s="8" t="inlineStr">
        <is>
          <t>按年包干，人数记1行</t>
        </is>
      </c>
      <c r="G30" s="8" t="inlineStr">
        <is>
          <t>12个月全包，含单位社保约38%</t>
        </is>
      </c>
      <c r="H30" s="8" t="inlineStr"/>
    </row>
    <row r="31">
      <c r="A31" s="23" t="inlineStr">
        <is>
          <t>合计</t>
        </is>
      </c>
      <c r="B31" s="7" t="inlineStr">
        <is>
          <t>编制人数（不含弹性包干行）</t>
        </is>
      </c>
      <c r="C31" s="63">
        <f>SUM(C5:C29)</f>
        <v/>
      </c>
      <c r="E31" s="45">
        <f>SUM(E5:E30)</f>
        <v/>
      </c>
    </row>
    <row r="33">
      <c r="A33" s="10" t="inlineStr">
        <is>
          <t>类别</t>
        </is>
      </c>
      <c r="B33" s="10" t="inlineStr">
        <is>
          <t>年成本（万元）</t>
        </is>
      </c>
    </row>
    <row r="34">
      <c r="A34" s="11" t="inlineStr">
        <is>
          <t>公共</t>
        </is>
      </c>
      <c r="B34" s="12">
        <f>SUMIF(A5:A30,A34,E5:E30)</f>
        <v/>
      </c>
    </row>
    <row r="35">
      <c r="A35" s="11" t="inlineStr">
        <is>
          <t>加盟</t>
        </is>
      </c>
      <c r="B35" s="12">
        <f>SUMIF(A5:A30,A35,E5:E30)</f>
        <v/>
      </c>
    </row>
    <row r="36">
      <c r="A36" s="11" t="inlineStr">
        <is>
          <t>自营</t>
        </is>
      </c>
      <c r="B36" s="12">
        <f>SUMIF(A5:A30,A36,E5:E30)</f>
        <v/>
      </c>
    </row>
    <row r="37">
      <c r="A37" s="11" t="inlineStr">
        <is>
          <t>联营协助</t>
        </is>
      </c>
      <c r="B37" s="12">
        <f>SUMIF(A5:A30,A37,E5:E30)</f>
        <v/>
      </c>
    </row>
    <row r="38">
      <c r="A38" s="23" t="inlineStr">
        <is>
          <t>人力总计</t>
        </is>
      </c>
      <c r="B38" s="45">
        <f>SUM(B34:B37)</f>
        <v/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40916C"/>
    <outlinePr summaryBelow="1" summaryRight="1"/>
    <pageSetUpPr fitToPage="1"/>
  </sheetPr>
  <dimension ref="A1:V4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</cols>
  <sheetData>
    <row r="1" ht="28" customHeight="1">
      <c r="A1" s="1" t="inlineStr">
        <is>
          <t>经营收入测算｜公园账面口径（万元）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3">
      <c r="A3" s="31" t="inlineStr">
        <is>
          <t>建设期收入为0。人流驱动：入园万人×转化×客单×分成。租金驱动：面积×日租×天数×出租率/10000。活动驱动：场次×单价×利用率。宝贝王见专项公式。</t>
        </is>
      </c>
    </row>
    <row r="4">
      <c r="A4" s="4" t="inlineStr">
        <is>
          <t>序号</t>
        </is>
      </c>
      <c r="B4" s="4" t="inlineStr">
        <is>
          <t>经营项目</t>
        </is>
      </c>
      <c r="C4" s="4" t="inlineStr">
        <is>
          <t>经营性质</t>
        </is>
      </c>
      <c r="D4" s="4" t="inlineStr">
        <is>
          <t>第1年</t>
        </is>
      </c>
      <c r="E4" s="4" t="inlineStr">
        <is>
          <t>第2年</t>
        </is>
      </c>
      <c r="F4" s="4" t="inlineStr">
        <is>
          <t>第3年</t>
        </is>
      </c>
      <c r="G4" s="4" t="inlineStr">
        <is>
          <t>第4年</t>
        </is>
      </c>
      <c r="H4" s="4" t="inlineStr">
        <is>
          <t>第5年</t>
        </is>
      </c>
      <c r="I4" s="4" t="inlineStr">
        <is>
          <t>第6年</t>
        </is>
      </c>
      <c r="J4" s="4" t="inlineStr">
        <is>
          <t>第7年</t>
        </is>
      </c>
      <c r="K4" s="4" t="inlineStr">
        <is>
          <t>第8年</t>
        </is>
      </c>
      <c r="L4" s="4" t="inlineStr">
        <is>
          <t>第9年</t>
        </is>
      </c>
      <c r="M4" s="4" t="inlineStr">
        <is>
          <t>第10年</t>
        </is>
      </c>
      <c r="N4" s="4" t="inlineStr">
        <is>
          <t>第11年</t>
        </is>
      </c>
      <c r="O4" s="4" t="inlineStr">
        <is>
          <t>第12年</t>
        </is>
      </c>
      <c r="P4" s="4" t="inlineStr">
        <is>
          <t>第13年</t>
        </is>
      </c>
      <c r="Q4" s="4" t="inlineStr">
        <is>
          <t>第14年</t>
        </is>
      </c>
      <c r="R4" s="4" t="inlineStr">
        <is>
          <t>第15年</t>
        </is>
      </c>
      <c r="S4" s="4" t="inlineStr">
        <is>
          <t>第16年</t>
        </is>
      </c>
      <c r="T4" s="4" t="inlineStr">
        <is>
          <t>第17年</t>
        </is>
      </c>
      <c r="U4" s="4" t="inlineStr">
        <is>
          <t>第18年</t>
        </is>
      </c>
      <c r="V4" s="4" t="inlineStr">
        <is>
          <t>达产占比</t>
        </is>
      </c>
    </row>
    <row r="5">
      <c r="A5" s="16" t="n">
        <v>1</v>
      </c>
      <c r="B5" s="11" t="inlineStr">
        <is>
          <t>玉皇山大马戏</t>
        </is>
      </c>
      <c r="C5" s="58" t="inlineStr">
        <is>
          <t>联营</t>
        </is>
      </c>
      <c r="D5" s="64">
        <f>IF('06人流模型'!B6&lt;=0,0,'06人流模型'!B6*业态参数!$G$5*业态参数!$H$5*业态参数!$F$5)</f>
        <v/>
      </c>
      <c r="E5" s="64">
        <f>IF('06人流模型'!C6&lt;=0,0,'06人流模型'!C6*业态参数!$G$5*业态参数!$H$5*业态参数!$F$5)</f>
        <v/>
      </c>
      <c r="F5" s="65">
        <f>IF('06人流模型'!D6&lt;=0,0,'06人流模型'!D6*业态参数!$G$5*业态参数!$H$5*业态参数!$F$5)</f>
        <v/>
      </c>
      <c r="G5" s="65">
        <f>IF('06人流模型'!E6&lt;=0,0,'06人流模型'!E6*业态参数!$G$5*业态参数!$H$5*业态参数!$F$5)</f>
        <v/>
      </c>
      <c r="H5" s="65">
        <f>IF('06人流模型'!F6&lt;=0,0,'06人流模型'!F6*业态参数!$G$5*业态参数!$H$5*业态参数!$F$5)</f>
        <v/>
      </c>
      <c r="I5" s="65">
        <f>IF('06人流模型'!G6&lt;=0,0,'06人流模型'!G6*业态参数!$G$5*业态参数!$H$5*业态参数!$F$5)</f>
        <v/>
      </c>
      <c r="J5" s="65">
        <f>IF('06人流模型'!H6&lt;=0,0,'06人流模型'!H6*业态参数!$G$5*业态参数!$H$5*业态参数!$F$5)</f>
        <v/>
      </c>
      <c r="K5" s="65">
        <f>IF('06人流模型'!I6&lt;=0,0,'06人流模型'!I6*业态参数!$G$5*业态参数!$H$5*业态参数!$F$5)</f>
        <v/>
      </c>
      <c r="L5" s="65">
        <f>IF('06人流模型'!J6&lt;=0,0,'06人流模型'!J6*业态参数!$G$5*业态参数!$H$5*业态参数!$F$5)</f>
        <v/>
      </c>
      <c r="M5" s="65">
        <f>IF('06人流模型'!K6&lt;=0,0,'06人流模型'!K6*业态参数!$G$5*业态参数!$H$5*业态参数!$F$5)</f>
        <v/>
      </c>
      <c r="N5" s="65">
        <f>IF('06人流模型'!L6&lt;=0,0,'06人流模型'!L6*业态参数!$G$5*业态参数!$H$5*业态参数!$F$5)</f>
        <v/>
      </c>
      <c r="O5" s="65">
        <f>IF('06人流模型'!M6&lt;=0,0,'06人流模型'!M6*业态参数!$G$5*业态参数!$H$5*业态参数!$F$5)</f>
        <v/>
      </c>
      <c r="P5" s="65">
        <f>IF('06人流模型'!N6&lt;=0,0,'06人流模型'!N6*业态参数!$G$5*业态参数!$H$5*业态参数!$F$5)</f>
        <v/>
      </c>
      <c r="Q5" s="65">
        <f>IF('06人流模型'!O6&lt;=0,0,'06人流模型'!O6*业态参数!$G$5*业态参数!$H$5*业态参数!$F$5)</f>
        <v/>
      </c>
      <c r="R5" s="65">
        <f>IF('06人流模型'!P6&lt;=0,0,'06人流模型'!P6*业态参数!$G$5*业态参数!$H$5*业态参数!$F$5)</f>
        <v/>
      </c>
      <c r="S5" s="65">
        <f>IF('06人流模型'!Q6&lt;=0,0,'06人流模型'!Q6*业态参数!$G$5*业态参数!$H$5*业态参数!$F$5)</f>
        <v/>
      </c>
      <c r="T5" s="65">
        <f>IF('06人流模型'!R6&lt;=0,0,'06人流模型'!R6*业态参数!$G$5*业态参数!$H$5*业态参数!$F$5)</f>
        <v/>
      </c>
      <c r="U5" s="65">
        <f>IF('06人流模型'!S6&lt;=0,0,'06人流模型'!S6*业态参数!$G$5*业态参数!$H$5*业态参数!$F$5)</f>
        <v/>
      </c>
      <c r="V5" s="19">
        <f>IF($F$35=0,0,F5/$F$35)</f>
        <v/>
      </c>
    </row>
    <row r="6">
      <c r="A6" s="16" t="n">
        <v>2</v>
      </c>
      <c r="B6" s="11" t="inlineStr">
        <is>
          <t>超级宝贝王</t>
        </is>
      </c>
      <c r="C6" s="59" t="inlineStr">
        <is>
          <t>品牌加盟</t>
        </is>
      </c>
      <c r="D6" s="64">
        <f>IF('06人流模型'!B6&lt;=0,0,宝贝王明细!B16)</f>
        <v/>
      </c>
      <c r="E6" s="64">
        <f>IF('06人流模型'!C6&lt;=0,0,宝贝王明细!C16)</f>
        <v/>
      </c>
      <c r="F6" s="65">
        <f>IF('06人流模型'!D6&lt;=0,0,宝贝王明细!D16)</f>
        <v/>
      </c>
      <c r="G6" s="65">
        <f>IF('06人流模型'!E6&lt;=0,0,宝贝王明细!E16)</f>
        <v/>
      </c>
      <c r="H6" s="65">
        <f>IF('06人流模型'!F6&lt;=0,0,宝贝王明细!F16)</f>
        <v/>
      </c>
      <c r="I6" s="65">
        <f>IF('06人流模型'!G6&lt;=0,0,宝贝王明细!G16)</f>
        <v/>
      </c>
      <c r="J6" s="65">
        <f>IF('06人流模型'!H6&lt;=0,0,宝贝王明细!H16)</f>
        <v/>
      </c>
      <c r="K6" s="65">
        <f>IF('06人流模型'!I6&lt;=0,0,宝贝王明细!I16)</f>
        <v/>
      </c>
      <c r="L6" s="65">
        <f>IF('06人流模型'!J6&lt;=0,0,宝贝王明细!J16)</f>
        <v/>
      </c>
      <c r="M6" s="65">
        <f>IF('06人流模型'!K6&lt;=0,0,宝贝王明细!K16)</f>
        <v/>
      </c>
      <c r="N6" s="65">
        <f>IF('06人流模型'!L6&lt;=0,0,宝贝王明细!L16)</f>
        <v/>
      </c>
      <c r="O6" s="65">
        <f>IF('06人流模型'!M6&lt;=0,0,宝贝王明细!M16)</f>
        <v/>
      </c>
      <c r="P6" s="65">
        <f>IF('06人流模型'!N6&lt;=0,0,宝贝王明细!N16)</f>
        <v/>
      </c>
      <c r="Q6" s="65">
        <f>IF('06人流模型'!O6&lt;=0,0,宝贝王明细!O16)</f>
        <v/>
      </c>
      <c r="R6" s="65">
        <f>IF('06人流模型'!P6&lt;=0,0,宝贝王明细!P16)</f>
        <v/>
      </c>
      <c r="S6" s="65">
        <f>IF('06人流模型'!Q6&lt;=0,0,宝贝王明细!Q16)</f>
        <v/>
      </c>
      <c r="T6" s="65">
        <f>IF('06人流模型'!R6&lt;=0,0,宝贝王明细!R16)</f>
        <v/>
      </c>
      <c r="U6" s="65">
        <f>IF('06人流模型'!S6&lt;=0,0,宝贝王明细!S16)</f>
        <v/>
      </c>
      <c r="V6" s="19">
        <f>IF($F$35=0,0,F6/$F$35)</f>
        <v/>
      </c>
    </row>
    <row r="7">
      <c r="A7" s="16" t="n">
        <v>3</v>
      </c>
      <c r="B7" s="11" t="inlineStr">
        <is>
          <t>土特产伴手礼</t>
        </is>
      </c>
      <c r="C7" s="60" t="inlineStr">
        <is>
          <t>自营</t>
        </is>
      </c>
      <c r="D7" s="64">
        <f>IF('06人流模型'!B6&lt;=0,0,'06人流模型'!B6*业态参数!$G$7*业态参数!$H$7*业态参数!$F$7)</f>
        <v/>
      </c>
      <c r="E7" s="64">
        <f>IF('06人流模型'!C6&lt;=0,0,'06人流模型'!C6*业态参数!$G$7*业态参数!$H$7*业态参数!$F$7)</f>
        <v/>
      </c>
      <c r="F7" s="65">
        <f>IF('06人流模型'!D6&lt;=0,0,'06人流模型'!D6*业态参数!$G$7*业态参数!$H$7*业态参数!$F$7)</f>
        <v/>
      </c>
      <c r="G7" s="65">
        <f>IF('06人流模型'!E6&lt;=0,0,'06人流模型'!E6*业态参数!$G$7*业态参数!$H$7*业态参数!$F$7)</f>
        <v/>
      </c>
      <c r="H7" s="65">
        <f>IF('06人流模型'!F6&lt;=0,0,'06人流模型'!F6*业态参数!$G$7*业态参数!$H$7*业态参数!$F$7)</f>
        <v/>
      </c>
      <c r="I7" s="65">
        <f>IF('06人流模型'!G6&lt;=0,0,'06人流模型'!G6*业态参数!$G$7*业态参数!$H$7*业态参数!$F$7)</f>
        <v/>
      </c>
      <c r="J7" s="65">
        <f>IF('06人流模型'!H6&lt;=0,0,'06人流模型'!H6*业态参数!$G$7*业态参数!$H$7*业态参数!$F$7)</f>
        <v/>
      </c>
      <c r="K7" s="65">
        <f>IF('06人流模型'!I6&lt;=0,0,'06人流模型'!I6*业态参数!$G$7*业态参数!$H$7*业态参数!$F$7)</f>
        <v/>
      </c>
      <c r="L7" s="65">
        <f>IF('06人流模型'!J6&lt;=0,0,'06人流模型'!J6*业态参数!$G$7*业态参数!$H$7*业态参数!$F$7)</f>
        <v/>
      </c>
      <c r="M7" s="65">
        <f>IF('06人流模型'!K6&lt;=0,0,'06人流模型'!K6*业态参数!$G$7*业态参数!$H$7*业态参数!$F$7)</f>
        <v/>
      </c>
      <c r="N7" s="65">
        <f>IF('06人流模型'!L6&lt;=0,0,'06人流模型'!L6*业态参数!$G$7*业态参数!$H$7*业态参数!$F$7)</f>
        <v/>
      </c>
      <c r="O7" s="65">
        <f>IF('06人流模型'!M6&lt;=0,0,'06人流模型'!M6*业态参数!$G$7*业态参数!$H$7*业态参数!$F$7)</f>
        <v/>
      </c>
      <c r="P7" s="65">
        <f>IF('06人流模型'!N6&lt;=0,0,'06人流模型'!N6*业态参数!$G$7*业态参数!$H$7*业态参数!$F$7)</f>
        <v/>
      </c>
      <c r="Q7" s="65">
        <f>IF('06人流模型'!O6&lt;=0,0,'06人流模型'!O6*业态参数!$G$7*业态参数!$H$7*业态参数!$F$7)</f>
        <v/>
      </c>
      <c r="R7" s="65">
        <f>IF('06人流模型'!P6&lt;=0,0,'06人流模型'!P6*业态参数!$G$7*业态参数!$H$7*业态参数!$F$7)</f>
        <v/>
      </c>
      <c r="S7" s="65">
        <f>IF('06人流模型'!Q6&lt;=0,0,'06人流模型'!Q6*业态参数!$G$7*业态参数!$H$7*业态参数!$F$7)</f>
        <v/>
      </c>
      <c r="T7" s="65">
        <f>IF('06人流模型'!R6&lt;=0,0,'06人流模型'!R6*业态参数!$G$7*业态参数!$H$7*业态参数!$F$7)</f>
        <v/>
      </c>
      <c r="U7" s="65">
        <f>IF('06人流模型'!S6&lt;=0,0,'06人流模型'!S6*业态参数!$G$7*业态参数!$H$7*业态参数!$F$7)</f>
        <v/>
      </c>
      <c r="V7" s="19">
        <f>IF($F$35=0,0,F7/$F$35)</f>
        <v/>
      </c>
    </row>
    <row r="8">
      <c r="A8" s="16" t="n">
        <v>4</v>
      </c>
      <c r="B8" s="11" t="inlineStr">
        <is>
          <t>动物萌宠互动</t>
        </is>
      </c>
      <c r="C8" s="58" t="inlineStr">
        <is>
          <t>联营</t>
        </is>
      </c>
      <c r="D8" s="64">
        <f>IF('06人流模型'!B6&lt;=0,0,'06人流模型'!B6*业态参数!$G$8*业态参数!$H$8*业态参数!$F$8)</f>
        <v/>
      </c>
      <c r="E8" s="64">
        <f>IF('06人流模型'!C6&lt;=0,0,'06人流模型'!C6*业态参数!$G$8*业态参数!$H$8*业态参数!$F$8)</f>
        <v/>
      </c>
      <c r="F8" s="65">
        <f>IF('06人流模型'!D6&lt;=0,0,'06人流模型'!D6*业态参数!$G$8*业态参数!$H$8*业态参数!$F$8)</f>
        <v/>
      </c>
      <c r="G8" s="65">
        <f>IF('06人流模型'!E6&lt;=0,0,'06人流模型'!E6*业态参数!$G$8*业态参数!$H$8*业态参数!$F$8)</f>
        <v/>
      </c>
      <c r="H8" s="65">
        <f>IF('06人流模型'!F6&lt;=0,0,'06人流模型'!F6*业态参数!$G$8*业态参数!$H$8*业态参数!$F$8)</f>
        <v/>
      </c>
      <c r="I8" s="65">
        <f>IF('06人流模型'!G6&lt;=0,0,'06人流模型'!G6*业态参数!$G$8*业态参数!$H$8*业态参数!$F$8)</f>
        <v/>
      </c>
      <c r="J8" s="65">
        <f>IF('06人流模型'!H6&lt;=0,0,'06人流模型'!H6*业态参数!$G$8*业态参数!$H$8*业态参数!$F$8)</f>
        <v/>
      </c>
      <c r="K8" s="65">
        <f>IF('06人流模型'!I6&lt;=0,0,'06人流模型'!I6*业态参数!$G$8*业态参数!$H$8*业态参数!$F$8)</f>
        <v/>
      </c>
      <c r="L8" s="65">
        <f>IF('06人流模型'!J6&lt;=0,0,'06人流模型'!J6*业态参数!$G$8*业态参数!$H$8*业态参数!$F$8)</f>
        <v/>
      </c>
      <c r="M8" s="65">
        <f>IF('06人流模型'!K6&lt;=0,0,'06人流模型'!K6*业态参数!$G$8*业态参数!$H$8*业态参数!$F$8)</f>
        <v/>
      </c>
      <c r="N8" s="65">
        <f>IF('06人流模型'!L6&lt;=0,0,'06人流模型'!L6*业态参数!$G$8*业态参数!$H$8*业态参数!$F$8)</f>
        <v/>
      </c>
      <c r="O8" s="65">
        <f>IF('06人流模型'!M6&lt;=0,0,'06人流模型'!M6*业态参数!$G$8*业态参数!$H$8*业态参数!$F$8)</f>
        <v/>
      </c>
      <c r="P8" s="65">
        <f>IF('06人流模型'!N6&lt;=0,0,'06人流模型'!N6*业态参数!$G$8*业态参数!$H$8*业态参数!$F$8)</f>
        <v/>
      </c>
      <c r="Q8" s="65">
        <f>IF('06人流模型'!O6&lt;=0,0,'06人流模型'!O6*业态参数!$G$8*业态参数!$H$8*业态参数!$F$8)</f>
        <v/>
      </c>
      <c r="R8" s="65">
        <f>IF('06人流模型'!P6&lt;=0,0,'06人流模型'!P6*业态参数!$G$8*业态参数!$H$8*业态参数!$F$8)</f>
        <v/>
      </c>
      <c r="S8" s="65">
        <f>IF('06人流模型'!Q6&lt;=0,0,'06人流模型'!Q6*业态参数!$G$8*业态参数!$H$8*业态参数!$F$8)</f>
        <v/>
      </c>
      <c r="T8" s="65">
        <f>IF('06人流模型'!R6&lt;=0,0,'06人流模型'!R6*业态参数!$G$8*业态参数!$H$8*业态参数!$F$8)</f>
        <v/>
      </c>
      <c r="U8" s="65">
        <f>IF('06人流模型'!S6&lt;=0,0,'06人流模型'!S6*业态参数!$G$8*业态参数!$H$8*业态参数!$F$8)</f>
        <v/>
      </c>
      <c r="V8" s="19">
        <f>IF($F$35=0,0,F8/$F$35)</f>
        <v/>
      </c>
    </row>
    <row r="9">
      <c r="A9" s="16" t="n">
        <v>5</v>
      </c>
      <c r="B9" s="11" t="inlineStr">
        <is>
          <t>湖畔影院</t>
        </is>
      </c>
      <c r="C9" s="58" t="inlineStr">
        <is>
          <t>联营</t>
        </is>
      </c>
      <c r="D9" s="64">
        <f>IF('06人流模型'!B6&lt;=0,0,'06人流模型'!B6*业态参数!$G$9*业态参数!$H$9*业态参数!$F$9)</f>
        <v/>
      </c>
      <c r="E9" s="64">
        <f>IF('06人流模型'!C6&lt;=0,0,'06人流模型'!C6*业态参数!$G$9*业态参数!$H$9*业态参数!$F$9)</f>
        <v/>
      </c>
      <c r="F9" s="65">
        <f>IF('06人流模型'!D6&lt;=0,0,'06人流模型'!D6*业态参数!$G$9*业态参数!$H$9*业态参数!$F$9)</f>
        <v/>
      </c>
      <c r="G9" s="65">
        <f>IF('06人流模型'!E6&lt;=0,0,'06人流模型'!E6*业态参数!$G$9*业态参数!$H$9*业态参数!$F$9)</f>
        <v/>
      </c>
      <c r="H9" s="65">
        <f>IF('06人流模型'!F6&lt;=0,0,'06人流模型'!F6*业态参数!$G$9*业态参数!$H$9*业态参数!$F$9)</f>
        <v/>
      </c>
      <c r="I9" s="65">
        <f>IF('06人流模型'!G6&lt;=0,0,'06人流模型'!G6*业态参数!$G$9*业态参数!$H$9*业态参数!$F$9)</f>
        <v/>
      </c>
      <c r="J9" s="65">
        <f>IF('06人流模型'!H6&lt;=0,0,'06人流模型'!H6*业态参数!$G$9*业态参数!$H$9*业态参数!$F$9)</f>
        <v/>
      </c>
      <c r="K9" s="65">
        <f>IF('06人流模型'!I6&lt;=0,0,'06人流模型'!I6*业态参数!$G$9*业态参数!$H$9*业态参数!$F$9)</f>
        <v/>
      </c>
      <c r="L9" s="65">
        <f>IF('06人流模型'!J6&lt;=0,0,'06人流模型'!J6*业态参数!$G$9*业态参数!$H$9*业态参数!$F$9)</f>
        <v/>
      </c>
      <c r="M9" s="65">
        <f>IF('06人流模型'!K6&lt;=0,0,'06人流模型'!K6*业态参数!$G$9*业态参数!$H$9*业态参数!$F$9)</f>
        <v/>
      </c>
      <c r="N9" s="65">
        <f>IF('06人流模型'!L6&lt;=0,0,'06人流模型'!L6*业态参数!$G$9*业态参数!$H$9*业态参数!$F$9)</f>
        <v/>
      </c>
      <c r="O9" s="65">
        <f>IF('06人流模型'!M6&lt;=0,0,'06人流模型'!M6*业态参数!$G$9*业态参数!$H$9*业态参数!$F$9)</f>
        <v/>
      </c>
      <c r="P9" s="65">
        <f>IF('06人流模型'!N6&lt;=0,0,'06人流模型'!N6*业态参数!$G$9*业态参数!$H$9*业态参数!$F$9)</f>
        <v/>
      </c>
      <c r="Q9" s="65">
        <f>IF('06人流模型'!O6&lt;=0,0,'06人流模型'!O6*业态参数!$G$9*业态参数!$H$9*业态参数!$F$9)</f>
        <v/>
      </c>
      <c r="R9" s="65">
        <f>IF('06人流模型'!P6&lt;=0,0,'06人流模型'!P6*业态参数!$G$9*业态参数!$H$9*业态参数!$F$9)</f>
        <v/>
      </c>
      <c r="S9" s="65">
        <f>IF('06人流模型'!Q6&lt;=0,0,'06人流模型'!Q6*业态参数!$G$9*业态参数!$H$9*业态参数!$F$9)</f>
        <v/>
      </c>
      <c r="T9" s="65">
        <f>IF('06人流模型'!R6&lt;=0,0,'06人流模型'!R6*业态参数!$G$9*业态参数!$H$9*业态参数!$F$9)</f>
        <v/>
      </c>
      <c r="U9" s="65">
        <f>IF('06人流模型'!S6&lt;=0,0,'06人流模型'!S6*业态参数!$G$9*业态参数!$H$9*业态参数!$F$9)</f>
        <v/>
      </c>
      <c r="V9" s="19">
        <f>IF($F$35=0,0,F9/$F$35)</f>
        <v/>
      </c>
    </row>
    <row r="10">
      <c r="A10" s="16" t="n">
        <v>6</v>
      </c>
      <c r="B10" s="11" t="inlineStr">
        <is>
          <t>青年街区</t>
        </is>
      </c>
      <c r="C10" s="30" t="inlineStr">
        <is>
          <t>出租</t>
        </is>
      </c>
      <c r="D10" s="64">
        <f>IF('06人流模型'!B6&lt;=0,0,业态参数!$I$10*业态参数!$J$10*业态参数!$K$10*业态参数!$L$10/10000)</f>
        <v/>
      </c>
      <c r="E10" s="64">
        <f>IF('06人流模型'!C6&lt;=0,0,业态参数!$I$10*业态参数!$J$10*业态参数!$K$10*业态参数!$L$10/10000)</f>
        <v/>
      </c>
      <c r="F10" s="65">
        <f>IF('06人流模型'!D6&lt;=0,0,业态参数!$I$10*业态参数!$J$10*业态参数!$K$10*业态参数!$L$10/10000)</f>
        <v/>
      </c>
      <c r="G10" s="65">
        <f>IF('06人流模型'!E6&lt;=0,0,业态参数!$I$10*业态参数!$J$10*业态参数!$K$10*业态参数!$L$10/10000)</f>
        <v/>
      </c>
      <c r="H10" s="65">
        <f>IF('06人流模型'!F6&lt;=0,0,业态参数!$I$10*业态参数!$J$10*业态参数!$K$10*业态参数!$L$10/10000)</f>
        <v/>
      </c>
      <c r="I10" s="65">
        <f>IF('06人流模型'!G6&lt;=0,0,业态参数!$I$10*业态参数!$J$10*业态参数!$K$10*业态参数!$L$10/10000)</f>
        <v/>
      </c>
      <c r="J10" s="65">
        <f>IF('06人流模型'!H6&lt;=0,0,业态参数!$I$10*业态参数!$J$10*业态参数!$K$10*业态参数!$L$10/10000)</f>
        <v/>
      </c>
      <c r="K10" s="65">
        <f>IF('06人流模型'!I6&lt;=0,0,业态参数!$I$10*业态参数!$J$10*业态参数!$K$10*业态参数!$L$10/10000)</f>
        <v/>
      </c>
      <c r="L10" s="65">
        <f>IF('06人流模型'!J6&lt;=0,0,业态参数!$I$10*业态参数!$J$10*业态参数!$K$10*业态参数!$L$10/10000)</f>
        <v/>
      </c>
      <c r="M10" s="65">
        <f>IF('06人流模型'!K6&lt;=0,0,业态参数!$I$10*业态参数!$J$10*业态参数!$K$10*业态参数!$L$10/10000)</f>
        <v/>
      </c>
      <c r="N10" s="65">
        <f>IF('06人流模型'!L6&lt;=0,0,业态参数!$I$10*业态参数!$J$10*业态参数!$K$10*业态参数!$L$10/10000)</f>
        <v/>
      </c>
      <c r="O10" s="65">
        <f>IF('06人流模型'!M6&lt;=0,0,业态参数!$I$10*业态参数!$J$10*业态参数!$K$10*业态参数!$L$10/10000)</f>
        <v/>
      </c>
      <c r="P10" s="65">
        <f>IF('06人流模型'!N6&lt;=0,0,业态参数!$I$10*业态参数!$J$10*业态参数!$K$10*业态参数!$L$10/10000)</f>
        <v/>
      </c>
      <c r="Q10" s="65">
        <f>IF('06人流模型'!O6&lt;=0,0,业态参数!$I$10*业态参数!$J$10*业态参数!$K$10*业态参数!$L$10/10000)</f>
        <v/>
      </c>
      <c r="R10" s="65">
        <f>IF('06人流模型'!P6&lt;=0,0,业态参数!$I$10*业态参数!$J$10*业态参数!$K$10*业态参数!$L$10/10000)</f>
        <v/>
      </c>
      <c r="S10" s="65">
        <f>IF('06人流模型'!Q6&lt;=0,0,业态参数!$I$10*业态参数!$J$10*业态参数!$K$10*业态参数!$L$10/10000)</f>
        <v/>
      </c>
      <c r="T10" s="65">
        <f>IF('06人流模型'!R6&lt;=0,0,业态参数!$I$10*业态参数!$J$10*业态参数!$K$10*业态参数!$L$10/10000)</f>
        <v/>
      </c>
      <c r="U10" s="65">
        <f>IF('06人流模型'!S6&lt;=0,0,业态参数!$I$10*业态参数!$J$10*业态参数!$K$10*业态参数!$L$10/10000)</f>
        <v/>
      </c>
      <c r="V10" s="19">
        <f>IF($F$35=0,0,F10/$F$35)</f>
        <v/>
      </c>
    </row>
    <row r="11">
      <c r="A11" s="16" t="n">
        <v>7</v>
      </c>
      <c r="B11" s="11" t="inlineStr">
        <is>
          <t>茶屋氧吧</t>
        </is>
      </c>
      <c r="C11" s="58" t="inlineStr">
        <is>
          <t>联营</t>
        </is>
      </c>
      <c r="D11" s="64">
        <f>IF('06人流模型'!B6&lt;=0,0,业态参数!$I$11*业态参数!$J$11*业态参数!$K$11*业态参数!$L$11/10000)</f>
        <v/>
      </c>
      <c r="E11" s="64">
        <f>IF('06人流模型'!C6&lt;=0,0,业态参数!$I$11*业态参数!$J$11*业态参数!$K$11*业态参数!$L$11/10000)</f>
        <v/>
      </c>
      <c r="F11" s="65">
        <f>IF('06人流模型'!D6&lt;=0,0,业态参数!$I$11*业态参数!$J$11*业态参数!$K$11*业态参数!$L$11/10000)</f>
        <v/>
      </c>
      <c r="G11" s="65">
        <f>IF('06人流模型'!E6&lt;=0,0,业态参数!$I$11*业态参数!$J$11*业态参数!$K$11*业态参数!$L$11/10000)</f>
        <v/>
      </c>
      <c r="H11" s="65">
        <f>IF('06人流模型'!F6&lt;=0,0,业态参数!$I$11*业态参数!$J$11*业态参数!$K$11*业态参数!$L$11/10000)</f>
        <v/>
      </c>
      <c r="I11" s="65">
        <f>IF('06人流模型'!G6&lt;=0,0,业态参数!$I$11*业态参数!$J$11*业态参数!$K$11*业态参数!$L$11/10000)</f>
        <v/>
      </c>
      <c r="J11" s="65">
        <f>IF('06人流模型'!H6&lt;=0,0,业态参数!$I$11*业态参数!$J$11*业态参数!$K$11*业态参数!$L$11/10000)</f>
        <v/>
      </c>
      <c r="K11" s="65">
        <f>IF('06人流模型'!I6&lt;=0,0,业态参数!$I$11*业态参数!$J$11*业态参数!$K$11*业态参数!$L$11/10000)</f>
        <v/>
      </c>
      <c r="L11" s="65">
        <f>IF('06人流模型'!J6&lt;=0,0,业态参数!$I$11*业态参数!$J$11*业态参数!$K$11*业态参数!$L$11/10000)</f>
        <v/>
      </c>
      <c r="M11" s="65">
        <f>IF('06人流模型'!K6&lt;=0,0,业态参数!$I$11*业态参数!$J$11*业态参数!$K$11*业态参数!$L$11/10000)</f>
        <v/>
      </c>
      <c r="N11" s="65">
        <f>IF('06人流模型'!L6&lt;=0,0,业态参数!$I$11*业态参数!$J$11*业态参数!$K$11*业态参数!$L$11/10000)</f>
        <v/>
      </c>
      <c r="O11" s="65">
        <f>IF('06人流模型'!M6&lt;=0,0,业态参数!$I$11*业态参数!$J$11*业态参数!$K$11*业态参数!$L$11/10000)</f>
        <v/>
      </c>
      <c r="P11" s="65">
        <f>IF('06人流模型'!N6&lt;=0,0,业态参数!$I$11*业态参数!$J$11*业态参数!$K$11*业态参数!$L$11/10000)</f>
        <v/>
      </c>
      <c r="Q11" s="65">
        <f>IF('06人流模型'!O6&lt;=0,0,业态参数!$I$11*业态参数!$J$11*业态参数!$K$11*业态参数!$L$11/10000)</f>
        <v/>
      </c>
      <c r="R11" s="65">
        <f>IF('06人流模型'!P6&lt;=0,0,业态参数!$I$11*业态参数!$J$11*业态参数!$K$11*业态参数!$L$11/10000)</f>
        <v/>
      </c>
      <c r="S11" s="65">
        <f>IF('06人流模型'!Q6&lt;=0,0,业态参数!$I$11*业态参数!$J$11*业态参数!$K$11*业态参数!$L$11/10000)</f>
        <v/>
      </c>
      <c r="T11" s="65">
        <f>IF('06人流模型'!R6&lt;=0,0,业态参数!$I$11*业态参数!$J$11*业态参数!$K$11*业态参数!$L$11/10000)</f>
        <v/>
      </c>
      <c r="U11" s="65">
        <f>IF('06人流模型'!S6&lt;=0,0,业态参数!$I$11*业态参数!$J$11*业态参数!$K$11*业态参数!$L$11/10000)</f>
        <v/>
      </c>
      <c r="V11" s="19">
        <f>IF($F$35=0,0,F11/$F$35)</f>
        <v/>
      </c>
    </row>
    <row r="12">
      <c r="A12" s="16" t="n">
        <v>8</v>
      </c>
      <c r="B12" s="11" t="inlineStr">
        <is>
          <t>素食餐厅</t>
        </is>
      </c>
      <c r="C12" s="58" t="inlineStr">
        <is>
          <t>联营</t>
        </is>
      </c>
      <c r="D12" s="64">
        <f>IF('06人流模型'!B6&lt;=0,0,'06人流模型'!B6*业态参数!$G$12*业态参数!$H$12*业态参数!$F$12)</f>
        <v/>
      </c>
      <c r="E12" s="64">
        <f>IF('06人流模型'!C6&lt;=0,0,'06人流模型'!C6*业态参数!$G$12*业态参数!$H$12*业态参数!$F$12)</f>
        <v/>
      </c>
      <c r="F12" s="65">
        <f>IF('06人流模型'!D6&lt;=0,0,'06人流模型'!D6*业态参数!$G$12*业态参数!$H$12*业态参数!$F$12)</f>
        <v/>
      </c>
      <c r="G12" s="65">
        <f>IF('06人流模型'!E6&lt;=0,0,'06人流模型'!E6*业态参数!$G$12*业态参数!$H$12*业态参数!$F$12)</f>
        <v/>
      </c>
      <c r="H12" s="65">
        <f>IF('06人流模型'!F6&lt;=0,0,'06人流模型'!F6*业态参数!$G$12*业态参数!$H$12*业态参数!$F$12)</f>
        <v/>
      </c>
      <c r="I12" s="65">
        <f>IF('06人流模型'!G6&lt;=0,0,'06人流模型'!G6*业态参数!$G$12*业态参数!$H$12*业态参数!$F$12)</f>
        <v/>
      </c>
      <c r="J12" s="65">
        <f>IF('06人流模型'!H6&lt;=0,0,'06人流模型'!H6*业态参数!$G$12*业态参数!$H$12*业态参数!$F$12)</f>
        <v/>
      </c>
      <c r="K12" s="65">
        <f>IF('06人流模型'!I6&lt;=0,0,'06人流模型'!I6*业态参数!$G$12*业态参数!$H$12*业态参数!$F$12)</f>
        <v/>
      </c>
      <c r="L12" s="65">
        <f>IF('06人流模型'!J6&lt;=0,0,'06人流模型'!J6*业态参数!$G$12*业态参数!$H$12*业态参数!$F$12)</f>
        <v/>
      </c>
      <c r="M12" s="65">
        <f>IF('06人流模型'!K6&lt;=0,0,'06人流模型'!K6*业态参数!$G$12*业态参数!$H$12*业态参数!$F$12)</f>
        <v/>
      </c>
      <c r="N12" s="65">
        <f>IF('06人流模型'!L6&lt;=0,0,'06人流模型'!L6*业态参数!$G$12*业态参数!$H$12*业态参数!$F$12)</f>
        <v/>
      </c>
      <c r="O12" s="65">
        <f>IF('06人流模型'!M6&lt;=0,0,'06人流模型'!M6*业态参数!$G$12*业态参数!$H$12*业态参数!$F$12)</f>
        <v/>
      </c>
      <c r="P12" s="65">
        <f>IF('06人流模型'!N6&lt;=0,0,'06人流模型'!N6*业态参数!$G$12*业态参数!$H$12*业态参数!$F$12)</f>
        <v/>
      </c>
      <c r="Q12" s="65">
        <f>IF('06人流模型'!O6&lt;=0,0,'06人流模型'!O6*业态参数!$G$12*业态参数!$H$12*业态参数!$F$12)</f>
        <v/>
      </c>
      <c r="R12" s="65">
        <f>IF('06人流模型'!P6&lt;=0,0,'06人流模型'!P6*业态参数!$G$12*业态参数!$H$12*业态参数!$F$12)</f>
        <v/>
      </c>
      <c r="S12" s="65">
        <f>IF('06人流模型'!Q6&lt;=0,0,'06人流模型'!Q6*业态参数!$G$12*业态参数!$H$12*业态参数!$F$12)</f>
        <v/>
      </c>
      <c r="T12" s="65">
        <f>IF('06人流模型'!R6&lt;=0,0,'06人流模型'!R6*业态参数!$G$12*业态参数!$H$12*业态参数!$F$12)</f>
        <v/>
      </c>
      <c r="U12" s="65">
        <f>IF('06人流模型'!S6&lt;=0,0,'06人流模型'!S6*业态参数!$G$12*业态参数!$H$12*业态参数!$F$12)</f>
        <v/>
      </c>
      <c r="V12" s="19">
        <f>IF($F$35=0,0,F12/$F$35)</f>
        <v/>
      </c>
    </row>
    <row r="13">
      <c r="A13" s="16" t="n">
        <v>9</v>
      </c>
      <c r="B13" s="11" t="inlineStr">
        <is>
          <t>庙会/市集</t>
        </is>
      </c>
      <c r="C13" s="58" t="inlineStr">
        <is>
          <t>联营</t>
        </is>
      </c>
      <c r="D13" s="64">
        <f>IF('06人流模型'!B6&lt;=0,0,业态参数!$M$13*业态参数!$N$13*业态参数!$O$13)</f>
        <v/>
      </c>
      <c r="E13" s="64">
        <f>IF('06人流模型'!C6&lt;=0,0,业态参数!$M$13*业态参数!$N$13*业态参数!$O$13)</f>
        <v/>
      </c>
      <c r="F13" s="65">
        <f>IF('06人流模型'!D6&lt;=0,0,业态参数!$M$13*业态参数!$N$13*业态参数!$O$13)</f>
        <v/>
      </c>
      <c r="G13" s="65">
        <f>IF('06人流模型'!E6&lt;=0,0,业态参数!$M$13*业态参数!$N$13*业态参数!$O$13)</f>
        <v/>
      </c>
      <c r="H13" s="65">
        <f>IF('06人流模型'!F6&lt;=0,0,业态参数!$M$13*业态参数!$N$13*业态参数!$O$13)</f>
        <v/>
      </c>
      <c r="I13" s="65">
        <f>IF('06人流模型'!G6&lt;=0,0,业态参数!$M$13*业态参数!$N$13*业态参数!$O$13)</f>
        <v/>
      </c>
      <c r="J13" s="65">
        <f>IF('06人流模型'!H6&lt;=0,0,业态参数!$M$13*业态参数!$N$13*业态参数!$O$13)</f>
        <v/>
      </c>
      <c r="K13" s="65">
        <f>IF('06人流模型'!I6&lt;=0,0,业态参数!$M$13*业态参数!$N$13*业态参数!$O$13)</f>
        <v/>
      </c>
      <c r="L13" s="65">
        <f>IF('06人流模型'!J6&lt;=0,0,业态参数!$M$13*业态参数!$N$13*业态参数!$O$13)</f>
        <v/>
      </c>
      <c r="M13" s="65">
        <f>IF('06人流模型'!K6&lt;=0,0,业态参数!$M$13*业态参数!$N$13*业态参数!$O$13)</f>
        <v/>
      </c>
      <c r="N13" s="65">
        <f>IF('06人流模型'!L6&lt;=0,0,业态参数!$M$13*业态参数!$N$13*业态参数!$O$13)</f>
        <v/>
      </c>
      <c r="O13" s="65">
        <f>IF('06人流模型'!M6&lt;=0,0,业态参数!$M$13*业态参数!$N$13*业态参数!$O$13)</f>
        <v/>
      </c>
      <c r="P13" s="65">
        <f>IF('06人流模型'!N6&lt;=0,0,业态参数!$M$13*业态参数!$N$13*业态参数!$O$13)</f>
        <v/>
      </c>
      <c r="Q13" s="65">
        <f>IF('06人流模型'!O6&lt;=0,0,业态参数!$M$13*业态参数!$N$13*业态参数!$O$13)</f>
        <v/>
      </c>
      <c r="R13" s="65">
        <f>IF('06人流模型'!P6&lt;=0,0,业态参数!$M$13*业态参数!$N$13*业态参数!$O$13)</f>
        <v/>
      </c>
      <c r="S13" s="65">
        <f>IF('06人流模型'!Q6&lt;=0,0,业态参数!$M$13*业态参数!$N$13*业态参数!$O$13)</f>
        <v/>
      </c>
      <c r="T13" s="65">
        <f>IF('06人流模型'!R6&lt;=0,0,业态参数!$M$13*业态参数!$N$13*业态参数!$O$13)</f>
        <v/>
      </c>
      <c r="U13" s="65">
        <f>IF('06人流模型'!S6&lt;=0,0,业态参数!$M$13*业态参数!$N$13*业态参数!$O$13)</f>
        <v/>
      </c>
      <c r="V13" s="19">
        <f>IF($F$35=0,0,F13/$F$35)</f>
        <v/>
      </c>
    </row>
    <row r="14">
      <c r="A14" s="16" t="n">
        <v>10</v>
      </c>
      <c r="B14" s="11" t="inlineStr">
        <is>
          <t>婚礼花园</t>
        </is>
      </c>
      <c r="C14" s="60" t="inlineStr">
        <is>
          <t>自营</t>
        </is>
      </c>
      <c r="D14" s="64">
        <f>IF('06人流模型'!B6&lt;=0,0,业态参数!$M$14*业态参数!$N$14*业态参数!$O$14)</f>
        <v/>
      </c>
      <c r="E14" s="64">
        <f>IF('06人流模型'!C6&lt;=0,0,业态参数!$M$14*业态参数!$N$14*业态参数!$O$14)</f>
        <v/>
      </c>
      <c r="F14" s="65">
        <f>IF('06人流模型'!D6&lt;=0,0,业态参数!$M$14*业态参数!$N$14*业态参数!$O$14)</f>
        <v/>
      </c>
      <c r="G14" s="65">
        <f>IF('06人流模型'!E6&lt;=0,0,业态参数!$M$14*业态参数!$N$14*业态参数!$O$14)</f>
        <v/>
      </c>
      <c r="H14" s="65">
        <f>IF('06人流模型'!F6&lt;=0,0,业态参数!$M$14*业态参数!$N$14*业态参数!$O$14)</f>
        <v/>
      </c>
      <c r="I14" s="65">
        <f>IF('06人流模型'!G6&lt;=0,0,业态参数!$M$14*业态参数!$N$14*业态参数!$O$14)</f>
        <v/>
      </c>
      <c r="J14" s="65">
        <f>IF('06人流模型'!H6&lt;=0,0,业态参数!$M$14*业态参数!$N$14*业态参数!$O$14)</f>
        <v/>
      </c>
      <c r="K14" s="65">
        <f>IF('06人流模型'!I6&lt;=0,0,业态参数!$M$14*业态参数!$N$14*业态参数!$O$14)</f>
        <v/>
      </c>
      <c r="L14" s="65">
        <f>IF('06人流模型'!J6&lt;=0,0,业态参数!$M$14*业态参数!$N$14*业态参数!$O$14)</f>
        <v/>
      </c>
      <c r="M14" s="65">
        <f>IF('06人流模型'!K6&lt;=0,0,业态参数!$M$14*业态参数!$N$14*业态参数!$O$14)</f>
        <v/>
      </c>
      <c r="N14" s="65">
        <f>IF('06人流模型'!L6&lt;=0,0,业态参数!$M$14*业态参数!$N$14*业态参数!$O$14)</f>
        <v/>
      </c>
      <c r="O14" s="65">
        <f>IF('06人流模型'!M6&lt;=0,0,业态参数!$M$14*业态参数!$N$14*业态参数!$O$14)</f>
        <v/>
      </c>
      <c r="P14" s="65">
        <f>IF('06人流模型'!N6&lt;=0,0,业态参数!$M$14*业态参数!$N$14*业态参数!$O$14)</f>
        <v/>
      </c>
      <c r="Q14" s="65">
        <f>IF('06人流模型'!O6&lt;=0,0,业态参数!$M$14*业态参数!$N$14*业态参数!$O$14)</f>
        <v/>
      </c>
      <c r="R14" s="65">
        <f>IF('06人流模型'!P6&lt;=0,0,业态参数!$M$14*业态参数!$N$14*业态参数!$O$14)</f>
        <v/>
      </c>
      <c r="S14" s="65">
        <f>IF('06人流模型'!Q6&lt;=0,0,业态参数!$M$14*业态参数!$N$14*业态参数!$O$14)</f>
        <v/>
      </c>
      <c r="T14" s="65">
        <f>IF('06人流模型'!R6&lt;=0,0,业态参数!$M$14*业态参数!$N$14*业态参数!$O$14)</f>
        <v/>
      </c>
      <c r="U14" s="65">
        <f>IF('06人流模型'!S6&lt;=0,0,业态参数!$M$14*业态参数!$N$14*业态参数!$O$14)</f>
        <v/>
      </c>
      <c r="V14" s="19">
        <f>IF($F$35=0,0,F14/$F$35)</f>
        <v/>
      </c>
    </row>
    <row r="15">
      <c r="A15" s="16" t="n">
        <v>11</v>
      </c>
      <c r="B15" s="11" t="inlineStr">
        <is>
          <t>雪地冰屋</t>
        </is>
      </c>
      <c r="C15" s="30" t="inlineStr">
        <is>
          <t>出租</t>
        </is>
      </c>
      <c r="D15" s="64">
        <f>IF('06人流模型'!B6&lt;=0,0,业态参数!$P$15*'06人流模型'!B6/75)</f>
        <v/>
      </c>
      <c r="E15" s="64">
        <f>IF('06人流模型'!C6&lt;=0,0,业态参数!$P$15*'06人流模型'!C6/75)</f>
        <v/>
      </c>
      <c r="F15" s="65">
        <f>IF('06人流模型'!D6&lt;=0,0,业态参数!$P$15*'06人流模型'!D6/75)</f>
        <v/>
      </c>
      <c r="G15" s="65">
        <f>IF('06人流模型'!E6&lt;=0,0,业态参数!$P$15*'06人流模型'!E6/75)</f>
        <v/>
      </c>
      <c r="H15" s="65">
        <f>IF('06人流模型'!F6&lt;=0,0,业态参数!$P$15*'06人流模型'!F6/75)</f>
        <v/>
      </c>
      <c r="I15" s="65">
        <f>IF('06人流模型'!G6&lt;=0,0,业态参数!$P$15*'06人流模型'!G6/75)</f>
        <v/>
      </c>
      <c r="J15" s="65">
        <f>IF('06人流模型'!H6&lt;=0,0,业态参数!$P$15*'06人流模型'!H6/75)</f>
        <v/>
      </c>
      <c r="K15" s="65">
        <f>IF('06人流模型'!I6&lt;=0,0,业态参数!$P$15*'06人流模型'!I6/75)</f>
        <v/>
      </c>
      <c r="L15" s="65">
        <f>IF('06人流模型'!J6&lt;=0,0,业态参数!$P$15*'06人流模型'!J6/75)</f>
        <v/>
      </c>
      <c r="M15" s="65">
        <f>IF('06人流模型'!K6&lt;=0,0,业态参数!$P$15*'06人流模型'!K6/75)</f>
        <v/>
      </c>
      <c r="N15" s="65">
        <f>IF('06人流模型'!L6&lt;=0,0,业态参数!$P$15*'06人流模型'!L6/75)</f>
        <v/>
      </c>
      <c r="O15" s="65">
        <f>IF('06人流模型'!M6&lt;=0,0,业态参数!$P$15*'06人流模型'!M6/75)</f>
        <v/>
      </c>
      <c r="P15" s="65">
        <f>IF('06人流模型'!N6&lt;=0,0,业态参数!$P$15*'06人流模型'!N6/75)</f>
        <v/>
      </c>
      <c r="Q15" s="65">
        <f>IF('06人流模型'!O6&lt;=0,0,业态参数!$P$15*'06人流模型'!O6/75)</f>
        <v/>
      </c>
      <c r="R15" s="65">
        <f>IF('06人流模型'!P6&lt;=0,0,业态参数!$P$15*'06人流模型'!P6/75)</f>
        <v/>
      </c>
      <c r="S15" s="65">
        <f>IF('06人流模型'!Q6&lt;=0,0,业态参数!$P$15*'06人流模型'!Q6/75)</f>
        <v/>
      </c>
      <c r="T15" s="65">
        <f>IF('06人流模型'!R6&lt;=0,0,业态参数!$P$15*'06人流模型'!R6/75)</f>
        <v/>
      </c>
      <c r="U15" s="65">
        <f>IF('06人流模型'!S6&lt;=0,0,业态参数!$P$15*'06人流模型'!S6/75)</f>
        <v/>
      </c>
      <c r="V15" s="19">
        <f>IF($F$35=0,0,F15/$F$35)</f>
        <v/>
      </c>
    </row>
    <row r="16">
      <c r="A16" s="16" t="n">
        <v>12</v>
      </c>
      <c r="B16" s="11" t="inlineStr">
        <is>
          <t>森林剧场</t>
        </is>
      </c>
      <c r="C16" s="58" t="inlineStr">
        <is>
          <t>联营</t>
        </is>
      </c>
      <c r="D16" s="64">
        <f>IF('06人流模型'!B6&lt;=0,0,'06人流模型'!B6*业态参数!$G$16*业态参数!$H$16*业态参数!$F$16)</f>
        <v/>
      </c>
      <c r="E16" s="64">
        <f>IF('06人流模型'!C6&lt;=0,0,'06人流模型'!C6*业态参数!$G$16*业态参数!$H$16*业态参数!$F$16)</f>
        <v/>
      </c>
      <c r="F16" s="65">
        <f>IF('06人流模型'!D6&lt;=0,0,'06人流模型'!D6*业态参数!$G$16*业态参数!$H$16*业态参数!$F$16)</f>
        <v/>
      </c>
      <c r="G16" s="65">
        <f>IF('06人流模型'!E6&lt;=0,0,'06人流模型'!E6*业态参数!$G$16*业态参数!$H$16*业态参数!$F$16)</f>
        <v/>
      </c>
      <c r="H16" s="65">
        <f>IF('06人流模型'!F6&lt;=0,0,'06人流模型'!F6*业态参数!$G$16*业态参数!$H$16*业态参数!$F$16)</f>
        <v/>
      </c>
      <c r="I16" s="65">
        <f>IF('06人流模型'!G6&lt;=0,0,'06人流模型'!G6*业态参数!$G$16*业态参数!$H$16*业态参数!$F$16)</f>
        <v/>
      </c>
      <c r="J16" s="65">
        <f>IF('06人流模型'!H6&lt;=0,0,'06人流模型'!H6*业态参数!$G$16*业态参数!$H$16*业态参数!$F$16)</f>
        <v/>
      </c>
      <c r="K16" s="65">
        <f>IF('06人流模型'!I6&lt;=0,0,'06人流模型'!I6*业态参数!$G$16*业态参数!$H$16*业态参数!$F$16)</f>
        <v/>
      </c>
      <c r="L16" s="65">
        <f>IF('06人流模型'!J6&lt;=0,0,'06人流模型'!J6*业态参数!$G$16*业态参数!$H$16*业态参数!$F$16)</f>
        <v/>
      </c>
      <c r="M16" s="65">
        <f>IF('06人流模型'!K6&lt;=0,0,'06人流模型'!K6*业态参数!$G$16*业态参数!$H$16*业态参数!$F$16)</f>
        <v/>
      </c>
      <c r="N16" s="65">
        <f>IF('06人流模型'!L6&lt;=0,0,'06人流模型'!L6*业态参数!$G$16*业态参数!$H$16*业态参数!$F$16)</f>
        <v/>
      </c>
      <c r="O16" s="65">
        <f>IF('06人流模型'!M6&lt;=0,0,'06人流模型'!M6*业态参数!$G$16*业态参数!$H$16*业态参数!$F$16)</f>
        <v/>
      </c>
      <c r="P16" s="65">
        <f>IF('06人流模型'!N6&lt;=0,0,'06人流模型'!N6*业态参数!$G$16*业态参数!$H$16*业态参数!$F$16)</f>
        <v/>
      </c>
      <c r="Q16" s="65">
        <f>IF('06人流模型'!O6&lt;=0,0,'06人流模型'!O6*业态参数!$G$16*业态参数!$H$16*业态参数!$F$16)</f>
        <v/>
      </c>
      <c r="R16" s="65">
        <f>IF('06人流模型'!P6&lt;=0,0,'06人流模型'!P6*业态参数!$G$16*业态参数!$H$16*业态参数!$F$16)</f>
        <v/>
      </c>
      <c r="S16" s="65">
        <f>IF('06人流模型'!Q6&lt;=0,0,'06人流模型'!Q6*业态参数!$G$16*业态参数!$H$16*业态参数!$F$16)</f>
        <v/>
      </c>
      <c r="T16" s="65">
        <f>IF('06人流模型'!R6&lt;=0,0,'06人流模型'!R6*业态参数!$G$16*业态参数!$H$16*业态参数!$F$16)</f>
        <v/>
      </c>
      <c r="U16" s="65">
        <f>IF('06人流模型'!S6&lt;=0,0,'06人流模型'!S6*业态参数!$G$16*业态参数!$H$16*业态参数!$F$16)</f>
        <v/>
      </c>
      <c r="V16" s="19">
        <f>IF($F$35=0,0,F16/$F$35)</f>
        <v/>
      </c>
    </row>
    <row r="17">
      <c r="A17" s="16" t="n">
        <v>13</v>
      </c>
      <c r="B17" s="11" t="inlineStr">
        <is>
          <t>禅修道苑</t>
        </is>
      </c>
      <c r="C17" s="58" t="inlineStr">
        <is>
          <t>联营</t>
        </is>
      </c>
      <c r="D17" s="64">
        <f>IF('06人流模型'!B6&lt;=0,0,'06人流模型'!B6*业态参数!$G$17*业态参数!$H$17*业态参数!$F$17)</f>
        <v/>
      </c>
      <c r="E17" s="64">
        <f>IF('06人流模型'!C6&lt;=0,0,'06人流模型'!C6*业态参数!$G$17*业态参数!$H$17*业态参数!$F$17)</f>
        <v/>
      </c>
      <c r="F17" s="65">
        <f>IF('06人流模型'!D6&lt;=0,0,'06人流模型'!D6*业态参数!$G$17*业态参数!$H$17*业态参数!$F$17)</f>
        <v/>
      </c>
      <c r="G17" s="65">
        <f>IF('06人流模型'!E6&lt;=0,0,'06人流模型'!E6*业态参数!$G$17*业态参数!$H$17*业态参数!$F$17)</f>
        <v/>
      </c>
      <c r="H17" s="65">
        <f>IF('06人流模型'!F6&lt;=0,0,'06人流模型'!F6*业态参数!$G$17*业态参数!$H$17*业态参数!$F$17)</f>
        <v/>
      </c>
      <c r="I17" s="65">
        <f>IF('06人流模型'!G6&lt;=0,0,'06人流模型'!G6*业态参数!$G$17*业态参数!$H$17*业态参数!$F$17)</f>
        <v/>
      </c>
      <c r="J17" s="65">
        <f>IF('06人流模型'!H6&lt;=0,0,'06人流模型'!H6*业态参数!$G$17*业态参数!$H$17*业态参数!$F$17)</f>
        <v/>
      </c>
      <c r="K17" s="65">
        <f>IF('06人流模型'!I6&lt;=0,0,'06人流模型'!I6*业态参数!$G$17*业态参数!$H$17*业态参数!$F$17)</f>
        <v/>
      </c>
      <c r="L17" s="65">
        <f>IF('06人流模型'!J6&lt;=0,0,'06人流模型'!J6*业态参数!$G$17*业态参数!$H$17*业态参数!$F$17)</f>
        <v/>
      </c>
      <c r="M17" s="65">
        <f>IF('06人流模型'!K6&lt;=0,0,'06人流模型'!K6*业态参数!$G$17*业态参数!$H$17*业态参数!$F$17)</f>
        <v/>
      </c>
      <c r="N17" s="65">
        <f>IF('06人流模型'!L6&lt;=0,0,'06人流模型'!L6*业态参数!$G$17*业态参数!$H$17*业态参数!$F$17)</f>
        <v/>
      </c>
      <c r="O17" s="65">
        <f>IF('06人流模型'!M6&lt;=0,0,'06人流模型'!M6*业态参数!$G$17*业态参数!$H$17*业态参数!$F$17)</f>
        <v/>
      </c>
      <c r="P17" s="65">
        <f>IF('06人流模型'!N6&lt;=0,0,'06人流模型'!N6*业态参数!$G$17*业态参数!$H$17*业态参数!$F$17)</f>
        <v/>
      </c>
      <c r="Q17" s="65">
        <f>IF('06人流模型'!O6&lt;=0,0,'06人流模型'!O6*业态参数!$G$17*业态参数!$H$17*业态参数!$F$17)</f>
        <v/>
      </c>
      <c r="R17" s="65">
        <f>IF('06人流模型'!P6&lt;=0,0,'06人流模型'!P6*业态参数!$G$17*业态参数!$H$17*业态参数!$F$17)</f>
        <v/>
      </c>
      <c r="S17" s="65">
        <f>IF('06人流模型'!Q6&lt;=0,0,'06人流模型'!Q6*业态参数!$G$17*业态参数!$H$17*业态参数!$F$17)</f>
        <v/>
      </c>
      <c r="T17" s="65">
        <f>IF('06人流模型'!R6&lt;=0,0,'06人流模型'!R6*业态参数!$G$17*业态参数!$H$17*业态参数!$F$17)</f>
        <v/>
      </c>
      <c r="U17" s="65">
        <f>IF('06人流模型'!S6&lt;=0,0,'06人流模型'!S6*业态参数!$G$17*业态参数!$H$17*业态参数!$F$17)</f>
        <v/>
      </c>
      <c r="V17" s="19">
        <f>IF($F$35=0,0,F17/$F$35)</f>
        <v/>
      </c>
    </row>
    <row r="18">
      <c r="A18" s="16" t="n">
        <v>14</v>
      </c>
      <c r="B18" s="11" t="inlineStr">
        <is>
          <t>悬崖咖啡</t>
        </is>
      </c>
      <c r="C18" s="58" t="inlineStr">
        <is>
          <t>联营</t>
        </is>
      </c>
      <c r="D18" s="64">
        <f>IF('06人流模型'!B6&lt;=0,0,'06人流模型'!B6*业态参数!$G$18*业态参数!$H$18*业态参数!$F$18)</f>
        <v/>
      </c>
      <c r="E18" s="64">
        <f>IF('06人流模型'!C6&lt;=0,0,'06人流模型'!C6*业态参数!$G$18*业态参数!$H$18*业态参数!$F$18)</f>
        <v/>
      </c>
      <c r="F18" s="65">
        <f>IF('06人流模型'!D6&lt;=0,0,'06人流模型'!D6*业态参数!$G$18*业态参数!$H$18*业态参数!$F$18)</f>
        <v/>
      </c>
      <c r="G18" s="65">
        <f>IF('06人流模型'!E6&lt;=0,0,'06人流模型'!E6*业态参数!$G$18*业态参数!$H$18*业态参数!$F$18)</f>
        <v/>
      </c>
      <c r="H18" s="65">
        <f>IF('06人流模型'!F6&lt;=0,0,'06人流模型'!F6*业态参数!$G$18*业态参数!$H$18*业态参数!$F$18)</f>
        <v/>
      </c>
      <c r="I18" s="65">
        <f>IF('06人流模型'!G6&lt;=0,0,'06人流模型'!G6*业态参数!$G$18*业态参数!$H$18*业态参数!$F$18)</f>
        <v/>
      </c>
      <c r="J18" s="65">
        <f>IF('06人流模型'!H6&lt;=0,0,'06人流模型'!H6*业态参数!$G$18*业态参数!$H$18*业态参数!$F$18)</f>
        <v/>
      </c>
      <c r="K18" s="65">
        <f>IF('06人流模型'!I6&lt;=0,0,'06人流模型'!I6*业态参数!$G$18*业态参数!$H$18*业态参数!$F$18)</f>
        <v/>
      </c>
      <c r="L18" s="65">
        <f>IF('06人流模型'!J6&lt;=0,0,'06人流模型'!J6*业态参数!$G$18*业态参数!$H$18*业态参数!$F$18)</f>
        <v/>
      </c>
      <c r="M18" s="65">
        <f>IF('06人流模型'!K6&lt;=0,0,'06人流模型'!K6*业态参数!$G$18*业态参数!$H$18*业态参数!$F$18)</f>
        <v/>
      </c>
      <c r="N18" s="65">
        <f>IF('06人流模型'!L6&lt;=0,0,'06人流模型'!L6*业态参数!$G$18*业态参数!$H$18*业态参数!$F$18)</f>
        <v/>
      </c>
      <c r="O18" s="65">
        <f>IF('06人流模型'!M6&lt;=0,0,'06人流模型'!M6*业态参数!$G$18*业态参数!$H$18*业态参数!$F$18)</f>
        <v/>
      </c>
      <c r="P18" s="65">
        <f>IF('06人流模型'!N6&lt;=0,0,'06人流模型'!N6*业态参数!$G$18*业态参数!$H$18*业态参数!$F$18)</f>
        <v/>
      </c>
      <c r="Q18" s="65">
        <f>IF('06人流模型'!O6&lt;=0,0,'06人流模型'!O6*业态参数!$G$18*业态参数!$H$18*业态参数!$F$18)</f>
        <v/>
      </c>
      <c r="R18" s="65">
        <f>IF('06人流模型'!P6&lt;=0,0,'06人流模型'!P6*业态参数!$G$18*业态参数!$H$18*业态参数!$F$18)</f>
        <v/>
      </c>
      <c r="S18" s="65">
        <f>IF('06人流模型'!Q6&lt;=0,0,'06人流模型'!Q6*业态参数!$G$18*业态参数!$H$18*业态参数!$F$18)</f>
        <v/>
      </c>
      <c r="T18" s="65">
        <f>IF('06人流模型'!R6&lt;=0,0,'06人流模型'!R6*业态参数!$G$18*业态参数!$H$18*业态参数!$F$18)</f>
        <v/>
      </c>
      <c r="U18" s="65">
        <f>IF('06人流模型'!S6&lt;=0,0,'06人流模型'!S6*业态参数!$G$18*业态参数!$H$18*业态参数!$F$18)</f>
        <v/>
      </c>
      <c r="V18" s="19">
        <f>IF($F$35=0,0,F18/$F$35)</f>
        <v/>
      </c>
    </row>
    <row r="19">
      <c r="A19" s="16" t="n">
        <v>15</v>
      </c>
      <c r="B19" s="11" t="inlineStr">
        <is>
          <t>许愿祈福</t>
        </is>
      </c>
      <c r="C19" s="58" t="inlineStr">
        <is>
          <t>联营</t>
        </is>
      </c>
      <c r="D19" s="64">
        <f>IF('06人流模型'!B6&lt;=0,0,'06人流模型'!B6*业态参数!$G$19*业态参数!$H$19*业态参数!$F$19)</f>
        <v/>
      </c>
      <c r="E19" s="64">
        <f>IF('06人流模型'!C6&lt;=0,0,'06人流模型'!C6*业态参数!$G$19*业态参数!$H$19*业态参数!$F$19)</f>
        <v/>
      </c>
      <c r="F19" s="65">
        <f>IF('06人流模型'!D6&lt;=0,0,'06人流模型'!D6*业态参数!$G$19*业态参数!$H$19*业态参数!$F$19)</f>
        <v/>
      </c>
      <c r="G19" s="65">
        <f>IF('06人流模型'!E6&lt;=0,0,'06人流模型'!E6*业态参数!$G$19*业态参数!$H$19*业态参数!$F$19)</f>
        <v/>
      </c>
      <c r="H19" s="65">
        <f>IF('06人流模型'!F6&lt;=0,0,'06人流模型'!F6*业态参数!$G$19*业态参数!$H$19*业态参数!$F$19)</f>
        <v/>
      </c>
      <c r="I19" s="65">
        <f>IF('06人流模型'!G6&lt;=0,0,'06人流模型'!G6*业态参数!$G$19*业态参数!$H$19*业态参数!$F$19)</f>
        <v/>
      </c>
      <c r="J19" s="65">
        <f>IF('06人流模型'!H6&lt;=0,0,'06人流模型'!H6*业态参数!$G$19*业态参数!$H$19*业态参数!$F$19)</f>
        <v/>
      </c>
      <c r="K19" s="65">
        <f>IF('06人流模型'!I6&lt;=0,0,'06人流模型'!I6*业态参数!$G$19*业态参数!$H$19*业态参数!$F$19)</f>
        <v/>
      </c>
      <c r="L19" s="65">
        <f>IF('06人流模型'!J6&lt;=0,0,'06人流模型'!J6*业态参数!$G$19*业态参数!$H$19*业态参数!$F$19)</f>
        <v/>
      </c>
      <c r="M19" s="65">
        <f>IF('06人流模型'!K6&lt;=0,0,'06人流模型'!K6*业态参数!$G$19*业态参数!$H$19*业态参数!$F$19)</f>
        <v/>
      </c>
      <c r="N19" s="65">
        <f>IF('06人流模型'!L6&lt;=0,0,'06人流模型'!L6*业态参数!$G$19*业态参数!$H$19*业态参数!$F$19)</f>
        <v/>
      </c>
      <c r="O19" s="65">
        <f>IF('06人流模型'!M6&lt;=0,0,'06人流模型'!M6*业态参数!$G$19*业态参数!$H$19*业态参数!$F$19)</f>
        <v/>
      </c>
      <c r="P19" s="65">
        <f>IF('06人流模型'!N6&lt;=0,0,'06人流模型'!N6*业态参数!$G$19*业态参数!$H$19*业态参数!$F$19)</f>
        <v/>
      </c>
      <c r="Q19" s="65">
        <f>IF('06人流模型'!O6&lt;=0,0,'06人流模型'!O6*业态参数!$G$19*业态参数!$H$19*业态参数!$F$19)</f>
        <v/>
      </c>
      <c r="R19" s="65">
        <f>IF('06人流模型'!P6&lt;=0,0,'06人流模型'!P6*业态参数!$G$19*业态参数!$H$19*业态参数!$F$19)</f>
        <v/>
      </c>
      <c r="S19" s="65">
        <f>IF('06人流模型'!Q6&lt;=0,0,'06人流模型'!Q6*业态参数!$G$19*业态参数!$H$19*业态参数!$F$19)</f>
        <v/>
      </c>
      <c r="T19" s="65">
        <f>IF('06人流模型'!R6&lt;=0,0,'06人流模型'!R6*业态参数!$G$19*业态参数!$H$19*业态参数!$F$19)</f>
        <v/>
      </c>
      <c r="U19" s="65">
        <f>IF('06人流模型'!S6&lt;=0,0,'06人流模型'!S6*业态参数!$G$19*业态参数!$H$19*业态参数!$F$19)</f>
        <v/>
      </c>
      <c r="V19" s="19">
        <f>IF($F$35=0,0,F19/$F$35)</f>
        <v/>
      </c>
    </row>
    <row r="20">
      <c r="A20" s="16" t="n">
        <v>16</v>
      </c>
      <c r="B20" s="11" t="inlineStr">
        <is>
          <t>树屋及星空露营</t>
        </is>
      </c>
      <c r="C20" s="58" t="inlineStr">
        <is>
          <t>联营</t>
        </is>
      </c>
      <c r="D20" s="64">
        <f>IF('06人流模型'!B6&lt;=0,0,'06人流模型'!B6*业态参数!$G$20*业态参数!$H$20*业态参数!$F$20)</f>
        <v/>
      </c>
      <c r="E20" s="64">
        <f>IF('06人流模型'!C6&lt;=0,0,'06人流模型'!C6*业态参数!$G$20*业态参数!$H$20*业态参数!$F$20)</f>
        <v/>
      </c>
      <c r="F20" s="65">
        <f>IF('06人流模型'!D6&lt;=0,0,'06人流模型'!D6*业态参数!$G$20*业态参数!$H$20*业态参数!$F$20)</f>
        <v/>
      </c>
      <c r="G20" s="65">
        <f>IF('06人流模型'!E6&lt;=0,0,'06人流模型'!E6*业态参数!$G$20*业态参数!$H$20*业态参数!$F$20)</f>
        <v/>
      </c>
      <c r="H20" s="65">
        <f>IF('06人流模型'!F6&lt;=0,0,'06人流模型'!F6*业态参数!$G$20*业态参数!$H$20*业态参数!$F$20)</f>
        <v/>
      </c>
      <c r="I20" s="65">
        <f>IF('06人流模型'!G6&lt;=0,0,'06人流模型'!G6*业态参数!$G$20*业态参数!$H$20*业态参数!$F$20)</f>
        <v/>
      </c>
      <c r="J20" s="65">
        <f>IF('06人流模型'!H6&lt;=0,0,'06人流模型'!H6*业态参数!$G$20*业态参数!$H$20*业态参数!$F$20)</f>
        <v/>
      </c>
      <c r="K20" s="65">
        <f>IF('06人流模型'!I6&lt;=0,0,'06人流模型'!I6*业态参数!$G$20*业态参数!$H$20*业态参数!$F$20)</f>
        <v/>
      </c>
      <c r="L20" s="65">
        <f>IF('06人流模型'!J6&lt;=0,0,'06人流模型'!J6*业态参数!$G$20*业态参数!$H$20*业态参数!$F$20)</f>
        <v/>
      </c>
      <c r="M20" s="65">
        <f>IF('06人流模型'!K6&lt;=0,0,'06人流模型'!K6*业态参数!$G$20*业态参数!$H$20*业态参数!$F$20)</f>
        <v/>
      </c>
      <c r="N20" s="65">
        <f>IF('06人流模型'!L6&lt;=0,0,'06人流模型'!L6*业态参数!$G$20*业态参数!$H$20*业态参数!$F$20)</f>
        <v/>
      </c>
      <c r="O20" s="65">
        <f>IF('06人流模型'!M6&lt;=0,0,'06人流模型'!M6*业态参数!$G$20*业态参数!$H$20*业态参数!$F$20)</f>
        <v/>
      </c>
      <c r="P20" s="65">
        <f>IF('06人流模型'!N6&lt;=0,0,'06人流模型'!N6*业态参数!$G$20*业态参数!$H$20*业态参数!$F$20)</f>
        <v/>
      </c>
      <c r="Q20" s="65">
        <f>IF('06人流模型'!O6&lt;=0,0,'06人流模型'!O6*业态参数!$G$20*业态参数!$H$20*业态参数!$F$20)</f>
        <v/>
      </c>
      <c r="R20" s="65">
        <f>IF('06人流模型'!P6&lt;=0,0,'06人流模型'!P6*业态参数!$G$20*业态参数!$H$20*业态参数!$F$20)</f>
        <v/>
      </c>
      <c r="S20" s="65">
        <f>IF('06人流模型'!Q6&lt;=0,0,'06人流模型'!Q6*业态参数!$G$20*业态参数!$H$20*业态参数!$F$20)</f>
        <v/>
      </c>
      <c r="T20" s="65">
        <f>IF('06人流模型'!R6&lt;=0,0,'06人流模型'!R6*业态参数!$G$20*业态参数!$H$20*业态参数!$F$20)</f>
        <v/>
      </c>
      <c r="U20" s="65">
        <f>IF('06人流模型'!S6&lt;=0,0,'06人流模型'!S6*业态参数!$G$20*业态参数!$H$20*业态参数!$F$20)</f>
        <v/>
      </c>
      <c r="V20" s="19">
        <f>IF($F$35=0,0,F20/$F$35)</f>
        <v/>
      </c>
    </row>
    <row r="21">
      <c r="A21" s="16" t="n">
        <v>17</v>
      </c>
      <c r="B21" s="11" t="inlineStr">
        <is>
          <t>山洞酒庄</t>
        </is>
      </c>
      <c r="C21" s="60" t="inlineStr">
        <is>
          <t>自营</t>
        </is>
      </c>
      <c r="D21" s="64">
        <f>IF('06人流模型'!B6&lt;=0,0,'06人流模型'!B6*业态参数!$G$21*业态参数!$H$21*业态参数!$F$21)</f>
        <v/>
      </c>
      <c r="E21" s="64">
        <f>IF('06人流模型'!C6&lt;=0,0,'06人流模型'!C6*业态参数!$G$21*业态参数!$H$21*业态参数!$F$21)</f>
        <v/>
      </c>
      <c r="F21" s="65">
        <f>IF('06人流模型'!D6&lt;=0,0,'06人流模型'!D6*业态参数!$G$21*业态参数!$H$21*业态参数!$F$21)</f>
        <v/>
      </c>
      <c r="G21" s="65">
        <f>IF('06人流模型'!E6&lt;=0,0,'06人流模型'!E6*业态参数!$G$21*业态参数!$H$21*业态参数!$F$21)</f>
        <v/>
      </c>
      <c r="H21" s="65">
        <f>IF('06人流模型'!F6&lt;=0,0,'06人流模型'!F6*业态参数!$G$21*业态参数!$H$21*业态参数!$F$21)</f>
        <v/>
      </c>
      <c r="I21" s="65">
        <f>IF('06人流模型'!G6&lt;=0,0,'06人流模型'!G6*业态参数!$G$21*业态参数!$H$21*业态参数!$F$21)</f>
        <v/>
      </c>
      <c r="J21" s="65">
        <f>IF('06人流模型'!H6&lt;=0,0,'06人流模型'!H6*业态参数!$G$21*业态参数!$H$21*业态参数!$F$21)</f>
        <v/>
      </c>
      <c r="K21" s="65">
        <f>IF('06人流模型'!I6&lt;=0,0,'06人流模型'!I6*业态参数!$G$21*业态参数!$H$21*业态参数!$F$21)</f>
        <v/>
      </c>
      <c r="L21" s="65">
        <f>IF('06人流模型'!J6&lt;=0,0,'06人流模型'!J6*业态参数!$G$21*业态参数!$H$21*业态参数!$F$21)</f>
        <v/>
      </c>
      <c r="M21" s="65">
        <f>IF('06人流模型'!K6&lt;=0,0,'06人流模型'!K6*业态参数!$G$21*业态参数!$H$21*业态参数!$F$21)</f>
        <v/>
      </c>
      <c r="N21" s="65">
        <f>IF('06人流模型'!L6&lt;=0,0,'06人流模型'!L6*业态参数!$G$21*业态参数!$H$21*业态参数!$F$21)</f>
        <v/>
      </c>
      <c r="O21" s="65">
        <f>IF('06人流模型'!M6&lt;=0,0,'06人流模型'!M6*业态参数!$G$21*业态参数!$H$21*业态参数!$F$21)</f>
        <v/>
      </c>
      <c r="P21" s="65">
        <f>IF('06人流模型'!N6&lt;=0,0,'06人流模型'!N6*业态参数!$G$21*业态参数!$H$21*业态参数!$F$21)</f>
        <v/>
      </c>
      <c r="Q21" s="65">
        <f>IF('06人流模型'!O6&lt;=0,0,'06人流模型'!O6*业态参数!$G$21*业态参数!$H$21*业态参数!$F$21)</f>
        <v/>
      </c>
      <c r="R21" s="65">
        <f>IF('06人流模型'!P6&lt;=0,0,'06人流模型'!P6*业态参数!$G$21*业态参数!$H$21*业态参数!$F$21)</f>
        <v/>
      </c>
      <c r="S21" s="65">
        <f>IF('06人流模型'!Q6&lt;=0,0,'06人流模型'!Q6*业态参数!$G$21*业态参数!$H$21*业态参数!$F$21)</f>
        <v/>
      </c>
      <c r="T21" s="65">
        <f>IF('06人流模型'!R6&lt;=0,0,'06人流模型'!R6*业态参数!$G$21*业态参数!$H$21*业态参数!$F$21)</f>
        <v/>
      </c>
      <c r="U21" s="65">
        <f>IF('06人流模型'!S6&lt;=0,0,'06人流模型'!S6*业态参数!$G$21*业态参数!$H$21*业态参数!$F$21)</f>
        <v/>
      </c>
      <c r="V21" s="19">
        <f>IF($F$35=0,0,F21/$F$35)</f>
        <v/>
      </c>
    </row>
    <row r="22">
      <c r="A22" s="16" t="n">
        <v>18</v>
      </c>
      <c r="B22" s="11" t="inlineStr">
        <is>
          <t>公园旅拍</t>
        </is>
      </c>
      <c r="C22" s="58" t="inlineStr">
        <is>
          <t>联营</t>
        </is>
      </c>
      <c r="D22" s="64">
        <f>IF('06人流模型'!B6&lt;=0,0,'06人流模型'!B6*业态参数!$G$22*业态参数!$H$22*业态参数!$F$22)</f>
        <v/>
      </c>
      <c r="E22" s="64">
        <f>IF('06人流模型'!C6&lt;=0,0,'06人流模型'!C6*业态参数!$G$22*业态参数!$H$22*业态参数!$F$22)</f>
        <v/>
      </c>
      <c r="F22" s="65">
        <f>IF('06人流模型'!D6&lt;=0,0,'06人流模型'!D6*业态参数!$G$22*业态参数!$H$22*业态参数!$F$22)</f>
        <v/>
      </c>
      <c r="G22" s="65">
        <f>IF('06人流模型'!E6&lt;=0,0,'06人流模型'!E6*业态参数!$G$22*业态参数!$H$22*业态参数!$F$22)</f>
        <v/>
      </c>
      <c r="H22" s="65">
        <f>IF('06人流模型'!F6&lt;=0,0,'06人流模型'!F6*业态参数!$G$22*业态参数!$H$22*业态参数!$F$22)</f>
        <v/>
      </c>
      <c r="I22" s="65">
        <f>IF('06人流模型'!G6&lt;=0,0,'06人流模型'!G6*业态参数!$G$22*业态参数!$H$22*业态参数!$F$22)</f>
        <v/>
      </c>
      <c r="J22" s="65">
        <f>IF('06人流模型'!H6&lt;=0,0,'06人流模型'!H6*业态参数!$G$22*业态参数!$H$22*业态参数!$F$22)</f>
        <v/>
      </c>
      <c r="K22" s="65">
        <f>IF('06人流模型'!I6&lt;=0,0,'06人流模型'!I6*业态参数!$G$22*业态参数!$H$22*业态参数!$F$22)</f>
        <v/>
      </c>
      <c r="L22" s="65">
        <f>IF('06人流模型'!J6&lt;=0,0,'06人流模型'!J6*业态参数!$G$22*业态参数!$H$22*业态参数!$F$22)</f>
        <v/>
      </c>
      <c r="M22" s="65">
        <f>IF('06人流模型'!K6&lt;=0,0,'06人流模型'!K6*业态参数!$G$22*业态参数!$H$22*业态参数!$F$22)</f>
        <v/>
      </c>
      <c r="N22" s="65">
        <f>IF('06人流模型'!L6&lt;=0,0,'06人流模型'!L6*业态参数!$G$22*业态参数!$H$22*业态参数!$F$22)</f>
        <v/>
      </c>
      <c r="O22" s="65">
        <f>IF('06人流模型'!M6&lt;=0,0,'06人流模型'!M6*业态参数!$G$22*业态参数!$H$22*业态参数!$F$22)</f>
        <v/>
      </c>
      <c r="P22" s="65">
        <f>IF('06人流模型'!N6&lt;=0,0,'06人流模型'!N6*业态参数!$G$22*业态参数!$H$22*业态参数!$F$22)</f>
        <v/>
      </c>
      <c r="Q22" s="65">
        <f>IF('06人流模型'!O6&lt;=0,0,'06人流模型'!O6*业态参数!$G$22*业态参数!$H$22*业态参数!$F$22)</f>
        <v/>
      </c>
      <c r="R22" s="65">
        <f>IF('06人流模型'!P6&lt;=0,0,'06人流模型'!P6*业态参数!$G$22*业态参数!$H$22*业态参数!$F$22)</f>
        <v/>
      </c>
      <c r="S22" s="65">
        <f>IF('06人流模型'!Q6&lt;=0,0,'06人流模型'!Q6*业态参数!$G$22*业态参数!$H$22*业态参数!$F$22)</f>
        <v/>
      </c>
      <c r="T22" s="65">
        <f>IF('06人流模型'!R6&lt;=0,0,'06人流模型'!R6*业态参数!$G$22*业态参数!$H$22*业态参数!$F$22)</f>
        <v/>
      </c>
      <c r="U22" s="65">
        <f>IF('06人流模型'!S6&lt;=0,0,'06人流模型'!S6*业态参数!$G$22*业态参数!$H$22*业态参数!$F$22)</f>
        <v/>
      </c>
      <c r="V22" s="19">
        <f>IF($F$35=0,0,F22/$F$35)</f>
        <v/>
      </c>
    </row>
    <row r="23">
      <c r="A23" s="16" t="n">
        <v>19</v>
      </c>
      <c r="B23" s="11" t="inlineStr">
        <is>
          <t>园区交通</t>
        </is>
      </c>
      <c r="C23" s="60" t="inlineStr">
        <is>
          <t>自营</t>
        </is>
      </c>
      <c r="D23" s="64">
        <f>IF('06人流模型'!B6&lt;=0,0,'06人流模型'!B6*业态参数!$G$23*业态参数!$H$23*业态参数!$F$23)</f>
        <v/>
      </c>
      <c r="E23" s="64">
        <f>IF('06人流模型'!C6&lt;=0,0,'06人流模型'!C6*业态参数!$G$23*业态参数!$H$23*业态参数!$F$23)</f>
        <v/>
      </c>
      <c r="F23" s="65">
        <f>IF('06人流模型'!D6&lt;=0,0,'06人流模型'!D6*业态参数!$G$23*业态参数!$H$23*业态参数!$F$23)</f>
        <v/>
      </c>
      <c r="G23" s="65">
        <f>IF('06人流模型'!E6&lt;=0,0,'06人流模型'!E6*业态参数!$G$23*业态参数!$H$23*业态参数!$F$23)</f>
        <v/>
      </c>
      <c r="H23" s="65">
        <f>IF('06人流模型'!F6&lt;=0,0,'06人流模型'!F6*业态参数!$G$23*业态参数!$H$23*业态参数!$F$23)</f>
        <v/>
      </c>
      <c r="I23" s="65">
        <f>IF('06人流模型'!G6&lt;=0,0,'06人流模型'!G6*业态参数!$G$23*业态参数!$H$23*业态参数!$F$23)</f>
        <v/>
      </c>
      <c r="J23" s="65">
        <f>IF('06人流模型'!H6&lt;=0,0,'06人流模型'!H6*业态参数!$G$23*业态参数!$H$23*业态参数!$F$23)</f>
        <v/>
      </c>
      <c r="K23" s="65">
        <f>IF('06人流模型'!I6&lt;=0,0,'06人流模型'!I6*业态参数!$G$23*业态参数!$H$23*业态参数!$F$23)</f>
        <v/>
      </c>
      <c r="L23" s="65">
        <f>IF('06人流模型'!J6&lt;=0,0,'06人流模型'!J6*业态参数!$G$23*业态参数!$H$23*业态参数!$F$23)</f>
        <v/>
      </c>
      <c r="M23" s="65">
        <f>IF('06人流模型'!K6&lt;=0,0,'06人流模型'!K6*业态参数!$G$23*业态参数!$H$23*业态参数!$F$23)</f>
        <v/>
      </c>
      <c r="N23" s="65">
        <f>IF('06人流模型'!L6&lt;=0,0,'06人流模型'!L6*业态参数!$G$23*业态参数!$H$23*业态参数!$F$23)</f>
        <v/>
      </c>
      <c r="O23" s="65">
        <f>IF('06人流模型'!M6&lt;=0,0,'06人流模型'!M6*业态参数!$G$23*业态参数!$H$23*业态参数!$F$23)</f>
        <v/>
      </c>
      <c r="P23" s="65">
        <f>IF('06人流模型'!N6&lt;=0,0,'06人流模型'!N6*业态参数!$G$23*业态参数!$H$23*业态参数!$F$23)</f>
        <v/>
      </c>
      <c r="Q23" s="65">
        <f>IF('06人流模型'!O6&lt;=0,0,'06人流模型'!O6*业态参数!$G$23*业态参数!$H$23*业态参数!$F$23)</f>
        <v/>
      </c>
      <c r="R23" s="65">
        <f>IF('06人流模型'!P6&lt;=0,0,'06人流模型'!P6*业态参数!$G$23*业态参数!$H$23*业态参数!$F$23)</f>
        <v/>
      </c>
      <c r="S23" s="65">
        <f>IF('06人流模型'!Q6&lt;=0,0,'06人流模型'!Q6*业态参数!$G$23*业态参数!$H$23*业态参数!$F$23)</f>
        <v/>
      </c>
      <c r="T23" s="65">
        <f>IF('06人流模型'!R6&lt;=0,0,'06人流模型'!R6*业态参数!$G$23*业态参数!$H$23*业态参数!$F$23)</f>
        <v/>
      </c>
      <c r="U23" s="65">
        <f>IF('06人流模型'!S6&lt;=0,0,'06人流模型'!S6*业态参数!$G$23*业态参数!$H$23*业态参数!$F$23)</f>
        <v/>
      </c>
      <c r="V23" s="19">
        <f>IF($F$35=0,0,F23/$F$35)</f>
        <v/>
      </c>
    </row>
    <row r="24">
      <c r="A24" s="16" t="n">
        <v>20</v>
      </c>
      <c r="B24" s="11" t="inlineStr">
        <is>
          <t>红色研学/VR展馆</t>
        </is>
      </c>
      <c r="C24" s="60" t="inlineStr">
        <is>
          <t>自营</t>
        </is>
      </c>
      <c r="D24" s="64">
        <f>IF('06人流模型'!B6&lt;=0,0,'06人流模型'!B6*业态参数!$G$24*业态参数!$H$24*业态参数!$F$24)</f>
        <v/>
      </c>
      <c r="E24" s="64">
        <f>IF('06人流模型'!C6&lt;=0,0,'06人流模型'!C6*业态参数!$G$24*业态参数!$H$24*业态参数!$F$24)</f>
        <v/>
      </c>
      <c r="F24" s="65">
        <f>IF('06人流模型'!D6&lt;=0,0,'06人流模型'!D6*业态参数!$G$24*业态参数!$H$24*业态参数!$F$24)</f>
        <v/>
      </c>
      <c r="G24" s="65">
        <f>IF('06人流模型'!E6&lt;=0,0,'06人流模型'!E6*业态参数!$G$24*业态参数!$H$24*业态参数!$F$24)</f>
        <v/>
      </c>
      <c r="H24" s="65">
        <f>IF('06人流模型'!F6&lt;=0,0,'06人流模型'!F6*业态参数!$G$24*业态参数!$H$24*业态参数!$F$24)</f>
        <v/>
      </c>
      <c r="I24" s="65">
        <f>IF('06人流模型'!G6&lt;=0,0,'06人流模型'!G6*业态参数!$G$24*业态参数!$H$24*业态参数!$F$24)</f>
        <v/>
      </c>
      <c r="J24" s="65">
        <f>IF('06人流模型'!H6&lt;=0,0,'06人流模型'!H6*业态参数!$G$24*业态参数!$H$24*业态参数!$F$24)</f>
        <v/>
      </c>
      <c r="K24" s="65">
        <f>IF('06人流模型'!I6&lt;=0,0,'06人流模型'!I6*业态参数!$G$24*业态参数!$H$24*业态参数!$F$24)</f>
        <v/>
      </c>
      <c r="L24" s="65">
        <f>IF('06人流模型'!J6&lt;=0,0,'06人流模型'!J6*业态参数!$G$24*业态参数!$H$24*业态参数!$F$24)</f>
        <v/>
      </c>
      <c r="M24" s="65">
        <f>IF('06人流模型'!K6&lt;=0,0,'06人流模型'!K6*业态参数!$G$24*业态参数!$H$24*业态参数!$F$24)</f>
        <v/>
      </c>
      <c r="N24" s="65">
        <f>IF('06人流模型'!L6&lt;=0,0,'06人流模型'!L6*业态参数!$G$24*业态参数!$H$24*业态参数!$F$24)</f>
        <v/>
      </c>
      <c r="O24" s="65">
        <f>IF('06人流模型'!M6&lt;=0,0,'06人流模型'!M6*业态参数!$G$24*业态参数!$H$24*业态参数!$F$24)</f>
        <v/>
      </c>
      <c r="P24" s="65">
        <f>IF('06人流模型'!N6&lt;=0,0,'06人流模型'!N6*业态参数!$G$24*业态参数!$H$24*业态参数!$F$24)</f>
        <v/>
      </c>
      <c r="Q24" s="65">
        <f>IF('06人流模型'!O6&lt;=0,0,'06人流模型'!O6*业态参数!$G$24*业态参数!$H$24*业态参数!$F$24)</f>
        <v/>
      </c>
      <c r="R24" s="65">
        <f>IF('06人流模型'!P6&lt;=0,0,'06人流模型'!P6*业态参数!$G$24*业态参数!$H$24*业态参数!$F$24)</f>
        <v/>
      </c>
      <c r="S24" s="65">
        <f>IF('06人流模型'!Q6&lt;=0,0,'06人流模型'!Q6*业态参数!$G$24*业态参数!$H$24*业态参数!$F$24)</f>
        <v/>
      </c>
      <c r="T24" s="65">
        <f>IF('06人流模型'!R6&lt;=0,0,'06人流模型'!R6*业态参数!$G$24*业态参数!$H$24*业态参数!$F$24)</f>
        <v/>
      </c>
      <c r="U24" s="65">
        <f>IF('06人流模型'!S6&lt;=0,0,'06人流模型'!S6*业态参数!$G$24*业态参数!$H$24*业态参数!$F$24)</f>
        <v/>
      </c>
      <c r="V24" s="19">
        <f>IF($F$35=0,0,F24/$F$35)</f>
        <v/>
      </c>
    </row>
    <row r="25">
      <c r="A25" s="16" t="n">
        <v>21</v>
      </c>
      <c r="B25" s="11" t="inlineStr">
        <is>
          <t>夜游/主题灯光</t>
        </is>
      </c>
      <c r="C25" s="60" t="inlineStr">
        <is>
          <t>自营</t>
        </is>
      </c>
      <c r="D25" s="64">
        <f>IF('06人流模型'!B6&lt;=0,0,'06人流模型'!B6*业态参数!$G$25*业态参数!$H$25*业态参数!$F$25)</f>
        <v/>
      </c>
      <c r="E25" s="64">
        <f>IF('06人流模型'!C6&lt;=0,0,'06人流模型'!C6*业态参数!$G$25*业态参数!$H$25*业态参数!$F$25)</f>
        <v/>
      </c>
      <c r="F25" s="65">
        <f>IF('06人流模型'!D6&lt;=0,0,'06人流模型'!D6*业态参数!$G$25*业态参数!$H$25*业态参数!$F$25)</f>
        <v/>
      </c>
      <c r="G25" s="65">
        <f>IF('06人流模型'!E6&lt;=0,0,'06人流模型'!E6*业态参数!$G$25*业态参数!$H$25*业态参数!$F$25)</f>
        <v/>
      </c>
      <c r="H25" s="65">
        <f>IF('06人流模型'!F6&lt;=0,0,'06人流模型'!F6*业态参数!$G$25*业态参数!$H$25*业态参数!$F$25)</f>
        <v/>
      </c>
      <c r="I25" s="65">
        <f>IF('06人流模型'!G6&lt;=0,0,'06人流模型'!G6*业态参数!$G$25*业态参数!$H$25*业态参数!$F$25)</f>
        <v/>
      </c>
      <c r="J25" s="65">
        <f>IF('06人流模型'!H6&lt;=0,0,'06人流模型'!H6*业态参数!$G$25*业态参数!$H$25*业态参数!$F$25)</f>
        <v/>
      </c>
      <c r="K25" s="65">
        <f>IF('06人流模型'!I6&lt;=0,0,'06人流模型'!I6*业态参数!$G$25*业态参数!$H$25*业态参数!$F$25)</f>
        <v/>
      </c>
      <c r="L25" s="65">
        <f>IF('06人流模型'!J6&lt;=0,0,'06人流模型'!J6*业态参数!$G$25*业态参数!$H$25*业态参数!$F$25)</f>
        <v/>
      </c>
      <c r="M25" s="65">
        <f>IF('06人流模型'!K6&lt;=0,0,'06人流模型'!K6*业态参数!$G$25*业态参数!$H$25*业态参数!$F$25)</f>
        <v/>
      </c>
      <c r="N25" s="65">
        <f>IF('06人流模型'!L6&lt;=0,0,'06人流模型'!L6*业态参数!$G$25*业态参数!$H$25*业态参数!$F$25)</f>
        <v/>
      </c>
      <c r="O25" s="65">
        <f>IF('06人流模型'!M6&lt;=0,0,'06人流模型'!M6*业态参数!$G$25*业态参数!$H$25*业态参数!$F$25)</f>
        <v/>
      </c>
      <c r="P25" s="65">
        <f>IF('06人流模型'!N6&lt;=0,0,'06人流模型'!N6*业态参数!$G$25*业态参数!$H$25*业态参数!$F$25)</f>
        <v/>
      </c>
      <c r="Q25" s="65">
        <f>IF('06人流模型'!O6&lt;=0,0,'06人流模型'!O6*业态参数!$G$25*业态参数!$H$25*业态参数!$F$25)</f>
        <v/>
      </c>
      <c r="R25" s="65">
        <f>IF('06人流模型'!P6&lt;=0,0,'06人流模型'!P6*业态参数!$G$25*业态参数!$H$25*业态参数!$F$25)</f>
        <v/>
      </c>
      <c r="S25" s="65">
        <f>IF('06人流模型'!Q6&lt;=0,0,'06人流模型'!Q6*业态参数!$G$25*业态参数!$H$25*业态参数!$F$25)</f>
        <v/>
      </c>
      <c r="T25" s="65">
        <f>IF('06人流模型'!R6&lt;=0,0,'06人流模型'!R6*业态参数!$G$25*业态参数!$H$25*业态参数!$F$25)</f>
        <v/>
      </c>
      <c r="U25" s="65">
        <f>IF('06人流模型'!S6&lt;=0,0,'06人流模型'!S6*业态参数!$G$25*业态参数!$H$25*业态参数!$F$25)</f>
        <v/>
      </c>
      <c r="V25" s="19">
        <f>IF($F$35=0,0,F25/$F$35)</f>
        <v/>
      </c>
    </row>
    <row r="26">
      <c r="A26" s="16" t="n">
        <v>22</v>
      </c>
      <c r="B26" s="11" t="inlineStr">
        <is>
          <t>室内高尔夫</t>
        </is>
      </c>
      <c r="C26" s="58" t="inlineStr">
        <is>
          <t>联营</t>
        </is>
      </c>
      <c r="D26" s="64">
        <f>IF('06人流模型'!B6&lt;=0,0,'06人流模型'!B6*业态参数!$G$26*业态参数!$H$26*业态参数!$F$26)</f>
        <v/>
      </c>
      <c r="E26" s="64">
        <f>IF('06人流模型'!C6&lt;=0,0,'06人流模型'!C6*业态参数!$G$26*业态参数!$H$26*业态参数!$F$26)</f>
        <v/>
      </c>
      <c r="F26" s="65">
        <f>IF('06人流模型'!D6&lt;=0,0,'06人流模型'!D6*业态参数!$G$26*业态参数!$H$26*业态参数!$F$26)</f>
        <v/>
      </c>
      <c r="G26" s="65">
        <f>IF('06人流模型'!E6&lt;=0,0,'06人流模型'!E6*业态参数!$G$26*业态参数!$H$26*业态参数!$F$26)</f>
        <v/>
      </c>
      <c r="H26" s="65">
        <f>IF('06人流模型'!F6&lt;=0,0,'06人流模型'!F6*业态参数!$G$26*业态参数!$H$26*业态参数!$F$26)</f>
        <v/>
      </c>
      <c r="I26" s="65">
        <f>IF('06人流模型'!G6&lt;=0,0,'06人流模型'!G6*业态参数!$G$26*业态参数!$H$26*业态参数!$F$26)</f>
        <v/>
      </c>
      <c r="J26" s="65">
        <f>IF('06人流模型'!H6&lt;=0,0,'06人流模型'!H6*业态参数!$G$26*业态参数!$H$26*业态参数!$F$26)</f>
        <v/>
      </c>
      <c r="K26" s="65">
        <f>IF('06人流模型'!I6&lt;=0,0,'06人流模型'!I6*业态参数!$G$26*业态参数!$H$26*业态参数!$F$26)</f>
        <v/>
      </c>
      <c r="L26" s="65">
        <f>IF('06人流模型'!J6&lt;=0,0,'06人流模型'!J6*业态参数!$G$26*业态参数!$H$26*业态参数!$F$26)</f>
        <v/>
      </c>
      <c r="M26" s="65">
        <f>IF('06人流模型'!K6&lt;=0,0,'06人流模型'!K6*业态参数!$G$26*业态参数!$H$26*业态参数!$F$26)</f>
        <v/>
      </c>
      <c r="N26" s="65">
        <f>IF('06人流模型'!L6&lt;=0,0,'06人流模型'!L6*业态参数!$G$26*业态参数!$H$26*业态参数!$F$26)</f>
        <v/>
      </c>
      <c r="O26" s="65">
        <f>IF('06人流模型'!M6&lt;=0,0,'06人流模型'!M6*业态参数!$G$26*业态参数!$H$26*业态参数!$F$26)</f>
        <v/>
      </c>
      <c r="P26" s="65">
        <f>IF('06人流模型'!N6&lt;=0,0,'06人流模型'!N6*业态参数!$G$26*业态参数!$H$26*业态参数!$F$26)</f>
        <v/>
      </c>
      <c r="Q26" s="65">
        <f>IF('06人流模型'!O6&lt;=0,0,'06人流模型'!O6*业态参数!$G$26*业态参数!$H$26*业态参数!$F$26)</f>
        <v/>
      </c>
      <c r="R26" s="65">
        <f>IF('06人流模型'!P6&lt;=0,0,'06人流模型'!P6*业态参数!$G$26*业态参数!$H$26*业态参数!$F$26)</f>
        <v/>
      </c>
      <c r="S26" s="65">
        <f>IF('06人流模型'!Q6&lt;=0,0,'06人流模型'!Q6*业态参数!$G$26*业态参数!$H$26*业态参数!$F$26)</f>
        <v/>
      </c>
      <c r="T26" s="65">
        <f>IF('06人流模型'!R6&lt;=0,0,'06人流模型'!R6*业态参数!$G$26*业态参数!$H$26*业态参数!$F$26)</f>
        <v/>
      </c>
      <c r="U26" s="65">
        <f>IF('06人流模型'!S6&lt;=0,0,'06人流模型'!S6*业态参数!$G$26*业态参数!$H$26*业态参数!$F$26)</f>
        <v/>
      </c>
      <c r="V26" s="19">
        <f>IF($F$35=0,0,F26/$F$35)</f>
        <v/>
      </c>
    </row>
    <row r="27">
      <c r="A27" s="16" t="n">
        <v>23</v>
      </c>
      <c r="B27" s="11" t="inlineStr">
        <is>
          <t>花海摄影</t>
        </is>
      </c>
      <c r="C27" s="60" t="inlineStr">
        <is>
          <t>自营</t>
        </is>
      </c>
      <c r="D27" s="64">
        <f>IF('06人流模型'!B6&lt;=0,0,'06人流模型'!B6*业态参数!$G$27*业态参数!$H$27*业态参数!$F$27)</f>
        <v/>
      </c>
      <c r="E27" s="64">
        <f>IF('06人流模型'!C6&lt;=0,0,'06人流模型'!C6*业态参数!$G$27*业态参数!$H$27*业态参数!$F$27)</f>
        <v/>
      </c>
      <c r="F27" s="65">
        <f>IF('06人流模型'!D6&lt;=0,0,'06人流模型'!D6*业态参数!$G$27*业态参数!$H$27*业态参数!$F$27)</f>
        <v/>
      </c>
      <c r="G27" s="65">
        <f>IF('06人流模型'!E6&lt;=0,0,'06人流模型'!E6*业态参数!$G$27*业态参数!$H$27*业态参数!$F$27)</f>
        <v/>
      </c>
      <c r="H27" s="65">
        <f>IF('06人流模型'!F6&lt;=0,0,'06人流模型'!F6*业态参数!$G$27*业态参数!$H$27*业态参数!$F$27)</f>
        <v/>
      </c>
      <c r="I27" s="65">
        <f>IF('06人流模型'!G6&lt;=0,0,'06人流模型'!G6*业态参数!$G$27*业态参数!$H$27*业态参数!$F$27)</f>
        <v/>
      </c>
      <c r="J27" s="65">
        <f>IF('06人流模型'!H6&lt;=0,0,'06人流模型'!H6*业态参数!$G$27*业态参数!$H$27*业态参数!$F$27)</f>
        <v/>
      </c>
      <c r="K27" s="65">
        <f>IF('06人流模型'!I6&lt;=0,0,'06人流模型'!I6*业态参数!$G$27*业态参数!$H$27*业态参数!$F$27)</f>
        <v/>
      </c>
      <c r="L27" s="65">
        <f>IF('06人流模型'!J6&lt;=0,0,'06人流模型'!J6*业态参数!$G$27*业态参数!$H$27*业态参数!$F$27)</f>
        <v/>
      </c>
      <c r="M27" s="65">
        <f>IF('06人流模型'!K6&lt;=0,0,'06人流模型'!K6*业态参数!$G$27*业态参数!$H$27*业态参数!$F$27)</f>
        <v/>
      </c>
      <c r="N27" s="65">
        <f>IF('06人流模型'!L6&lt;=0,0,'06人流模型'!L6*业态参数!$G$27*业态参数!$H$27*业态参数!$F$27)</f>
        <v/>
      </c>
      <c r="O27" s="65">
        <f>IF('06人流模型'!M6&lt;=0,0,'06人流模型'!M6*业态参数!$G$27*业态参数!$H$27*业态参数!$F$27)</f>
        <v/>
      </c>
      <c r="P27" s="65">
        <f>IF('06人流模型'!N6&lt;=0,0,'06人流模型'!N6*业态参数!$G$27*业态参数!$H$27*业态参数!$F$27)</f>
        <v/>
      </c>
      <c r="Q27" s="65">
        <f>IF('06人流模型'!O6&lt;=0,0,'06人流模型'!O6*业态参数!$G$27*业态参数!$H$27*业态参数!$F$27)</f>
        <v/>
      </c>
      <c r="R27" s="65">
        <f>IF('06人流模型'!P6&lt;=0,0,'06人流模型'!P6*业态参数!$G$27*业态参数!$H$27*业态参数!$F$27)</f>
        <v/>
      </c>
      <c r="S27" s="65">
        <f>IF('06人流模型'!Q6&lt;=0,0,'06人流模型'!Q6*业态参数!$G$27*业态参数!$H$27*业态参数!$F$27)</f>
        <v/>
      </c>
      <c r="T27" s="65">
        <f>IF('06人流模型'!R6&lt;=0,0,'06人流模型'!R6*业态参数!$G$27*业态参数!$H$27*业态参数!$F$27)</f>
        <v/>
      </c>
      <c r="U27" s="65">
        <f>IF('06人流模型'!S6&lt;=0,0,'06人流模型'!S6*业态参数!$G$27*业态参数!$H$27*业态参数!$F$27)</f>
        <v/>
      </c>
      <c r="V27" s="19">
        <f>IF($F$35=0,0,F27/$F$35)</f>
        <v/>
      </c>
    </row>
    <row r="28">
      <c r="A28" s="16" t="n">
        <v>24</v>
      </c>
      <c r="B28" s="11" t="inlineStr">
        <is>
          <t>冬季抗联及戏雪</t>
        </is>
      </c>
      <c r="C28" s="58" t="inlineStr">
        <is>
          <t>联营</t>
        </is>
      </c>
      <c r="D28" s="64">
        <f>IF('06人流模型'!B6&lt;=0,0,'06人流模型'!B6*业态参数!$G$28*业态参数!$H$28*业态参数!$F$28)</f>
        <v/>
      </c>
      <c r="E28" s="64">
        <f>IF('06人流模型'!C6&lt;=0,0,'06人流模型'!C6*业态参数!$G$28*业态参数!$H$28*业态参数!$F$28)</f>
        <v/>
      </c>
      <c r="F28" s="65">
        <f>IF('06人流模型'!D6&lt;=0,0,'06人流模型'!D6*业态参数!$G$28*业态参数!$H$28*业态参数!$F$28)</f>
        <v/>
      </c>
      <c r="G28" s="65">
        <f>IF('06人流模型'!E6&lt;=0,0,'06人流模型'!E6*业态参数!$G$28*业态参数!$H$28*业态参数!$F$28)</f>
        <v/>
      </c>
      <c r="H28" s="65">
        <f>IF('06人流模型'!F6&lt;=0,0,'06人流模型'!F6*业态参数!$G$28*业态参数!$H$28*业态参数!$F$28)</f>
        <v/>
      </c>
      <c r="I28" s="65">
        <f>IF('06人流模型'!G6&lt;=0,0,'06人流模型'!G6*业态参数!$G$28*业态参数!$H$28*业态参数!$F$28)</f>
        <v/>
      </c>
      <c r="J28" s="65">
        <f>IF('06人流模型'!H6&lt;=0,0,'06人流模型'!H6*业态参数!$G$28*业态参数!$H$28*业态参数!$F$28)</f>
        <v/>
      </c>
      <c r="K28" s="65">
        <f>IF('06人流模型'!I6&lt;=0,0,'06人流模型'!I6*业态参数!$G$28*业态参数!$H$28*业态参数!$F$28)</f>
        <v/>
      </c>
      <c r="L28" s="65">
        <f>IF('06人流模型'!J6&lt;=0,0,'06人流模型'!J6*业态参数!$G$28*业态参数!$H$28*业态参数!$F$28)</f>
        <v/>
      </c>
      <c r="M28" s="65">
        <f>IF('06人流模型'!K6&lt;=0,0,'06人流模型'!K6*业态参数!$G$28*业态参数!$H$28*业态参数!$F$28)</f>
        <v/>
      </c>
      <c r="N28" s="65">
        <f>IF('06人流模型'!L6&lt;=0,0,'06人流模型'!L6*业态参数!$G$28*业态参数!$H$28*业态参数!$F$28)</f>
        <v/>
      </c>
      <c r="O28" s="65">
        <f>IF('06人流模型'!M6&lt;=0,0,'06人流模型'!M6*业态参数!$G$28*业态参数!$H$28*业态参数!$F$28)</f>
        <v/>
      </c>
      <c r="P28" s="65">
        <f>IF('06人流模型'!N6&lt;=0,0,'06人流模型'!N6*业态参数!$G$28*业态参数!$H$28*业态参数!$F$28)</f>
        <v/>
      </c>
      <c r="Q28" s="65">
        <f>IF('06人流模型'!O6&lt;=0,0,'06人流模型'!O6*业态参数!$G$28*业态参数!$H$28*业态参数!$F$28)</f>
        <v/>
      </c>
      <c r="R28" s="65">
        <f>IF('06人流模型'!P6&lt;=0,0,'06人流模型'!P6*业态参数!$G$28*业态参数!$H$28*业态参数!$F$28)</f>
        <v/>
      </c>
      <c r="S28" s="65">
        <f>IF('06人流模型'!Q6&lt;=0,0,'06人流模型'!Q6*业态参数!$G$28*业态参数!$H$28*业态参数!$F$28)</f>
        <v/>
      </c>
      <c r="T28" s="65">
        <f>IF('06人流模型'!R6&lt;=0,0,'06人流模型'!R6*业态参数!$G$28*业态参数!$H$28*业态参数!$F$28)</f>
        <v/>
      </c>
      <c r="U28" s="65">
        <f>IF('06人流模型'!S6&lt;=0,0,'06人流模型'!S6*业态参数!$G$28*业态参数!$H$28*业态参数!$F$28)</f>
        <v/>
      </c>
      <c r="V28" s="19">
        <f>IF($F$35=0,0,F28/$F$35)</f>
        <v/>
      </c>
    </row>
    <row r="29">
      <c r="A29" s="16" t="n">
        <v>25</v>
      </c>
      <c r="B29" s="11" t="inlineStr">
        <is>
          <t>动物零食售卖</t>
        </is>
      </c>
      <c r="C29" s="60" t="inlineStr">
        <is>
          <t>自营</t>
        </is>
      </c>
      <c r="D29" s="64">
        <f>IF('06人流模型'!B6&lt;=0,0,'06人流模型'!B6*业态参数!$G$29*业态参数!$H$29*业态参数!$F$29)</f>
        <v/>
      </c>
      <c r="E29" s="64">
        <f>IF('06人流模型'!C6&lt;=0,0,'06人流模型'!C6*业态参数!$G$29*业态参数!$H$29*业态参数!$F$29)</f>
        <v/>
      </c>
      <c r="F29" s="65">
        <f>IF('06人流模型'!D6&lt;=0,0,'06人流模型'!D6*业态参数!$G$29*业态参数!$H$29*业态参数!$F$29)</f>
        <v/>
      </c>
      <c r="G29" s="65">
        <f>IF('06人流模型'!E6&lt;=0,0,'06人流模型'!E6*业态参数!$G$29*业态参数!$H$29*业态参数!$F$29)</f>
        <v/>
      </c>
      <c r="H29" s="65">
        <f>IF('06人流模型'!F6&lt;=0,0,'06人流模型'!F6*业态参数!$G$29*业态参数!$H$29*业态参数!$F$29)</f>
        <v/>
      </c>
      <c r="I29" s="65">
        <f>IF('06人流模型'!G6&lt;=0,0,'06人流模型'!G6*业态参数!$G$29*业态参数!$H$29*业态参数!$F$29)</f>
        <v/>
      </c>
      <c r="J29" s="65">
        <f>IF('06人流模型'!H6&lt;=0,0,'06人流模型'!H6*业态参数!$G$29*业态参数!$H$29*业态参数!$F$29)</f>
        <v/>
      </c>
      <c r="K29" s="65">
        <f>IF('06人流模型'!I6&lt;=0,0,'06人流模型'!I6*业态参数!$G$29*业态参数!$H$29*业态参数!$F$29)</f>
        <v/>
      </c>
      <c r="L29" s="65">
        <f>IF('06人流模型'!J6&lt;=0,0,'06人流模型'!J6*业态参数!$G$29*业态参数!$H$29*业态参数!$F$29)</f>
        <v/>
      </c>
      <c r="M29" s="65">
        <f>IF('06人流模型'!K6&lt;=0,0,'06人流模型'!K6*业态参数!$G$29*业态参数!$H$29*业态参数!$F$29)</f>
        <v/>
      </c>
      <c r="N29" s="65">
        <f>IF('06人流模型'!L6&lt;=0,0,'06人流模型'!L6*业态参数!$G$29*业态参数!$H$29*业态参数!$F$29)</f>
        <v/>
      </c>
      <c r="O29" s="65">
        <f>IF('06人流模型'!M6&lt;=0,0,'06人流模型'!M6*业态参数!$G$29*业态参数!$H$29*业态参数!$F$29)</f>
        <v/>
      </c>
      <c r="P29" s="65">
        <f>IF('06人流模型'!N6&lt;=0,0,'06人流模型'!N6*业态参数!$G$29*业态参数!$H$29*业态参数!$F$29)</f>
        <v/>
      </c>
      <c r="Q29" s="65">
        <f>IF('06人流模型'!O6&lt;=0,0,'06人流模型'!O6*业态参数!$G$29*业态参数!$H$29*业态参数!$F$29)</f>
        <v/>
      </c>
      <c r="R29" s="65">
        <f>IF('06人流模型'!P6&lt;=0,0,'06人流模型'!P6*业态参数!$G$29*业态参数!$H$29*业态参数!$F$29)</f>
        <v/>
      </c>
      <c r="S29" s="65">
        <f>IF('06人流模型'!Q6&lt;=0,0,'06人流模型'!Q6*业态参数!$G$29*业态参数!$H$29*业态参数!$F$29)</f>
        <v/>
      </c>
      <c r="T29" s="65">
        <f>IF('06人流模型'!R6&lt;=0,0,'06人流模型'!R6*业态参数!$G$29*业态参数!$H$29*业态参数!$F$29)</f>
        <v/>
      </c>
      <c r="U29" s="65">
        <f>IF('06人流模型'!S6&lt;=0,0,'06人流模型'!S6*业态参数!$G$29*业态参数!$H$29*业态参数!$F$29)</f>
        <v/>
      </c>
      <c r="V29" s="19">
        <f>IF($F$35=0,0,F29/$F$35)</f>
        <v/>
      </c>
    </row>
    <row r="30">
      <c r="A30" s="16" t="n">
        <v>26</v>
      </c>
      <c r="B30" s="11" t="inlineStr">
        <is>
          <t>南入口停车场</t>
        </is>
      </c>
      <c r="C30" s="60" t="inlineStr">
        <is>
          <t>自营</t>
        </is>
      </c>
      <c r="D30" s="64">
        <f>IF('06人流模型'!B6&lt;=0,0,业态参数!$P$30*'06人流模型'!B6/75)</f>
        <v/>
      </c>
      <c r="E30" s="64">
        <f>IF('06人流模型'!C6&lt;=0,0,业态参数!$P$30*'06人流模型'!C6/75)</f>
        <v/>
      </c>
      <c r="F30" s="65">
        <f>IF('06人流模型'!D6&lt;=0,0,业态参数!$P$30*'06人流模型'!D6/75)</f>
        <v/>
      </c>
      <c r="G30" s="65">
        <f>IF('06人流模型'!E6&lt;=0,0,业态参数!$P$30*'06人流模型'!E6/75)</f>
        <v/>
      </c>
      <c r="H30" s="65">
        <f>IF('06人流模型'!F6&lt;=0,0,业态参数!$P$30*'06人流模型'!F6/75)</f>
        <v/>
      </c>
      <c r="I30" s="65">
        <f>IF('06人流模型'!G6&lt;=0,0,业态参数!$P$30*'06人流模型'!G6/75)</f>
        <v/>
      </c>
      <c r="J30" s="65">
        <f>IF('06人流模型'!H6&lt;=0,0,业态参数!$P$30*'06人流模型'!H6/75)</f>
        <v/>
      </c>
      <c r="K30" s="65">
        <f>IF('06人流模型'!I6&lt;=0,0,业态参数!$P$30*'06人流模型'!I6/75)</f>
        <v/>
      </c>
      <c r="L30" s="65">
        <f>IF('06人流模型'!J6&lt;=0,0,业态参数!$P$30*'06人流模型'!J6/75)</f>
        <v/>
      </c>
      <c r="M30" s="65">
        <f>IF('06人流模型'!K6&lt;=0,0,业态参数!$P$30*'06人流模型'!K6/75)</f>
        <v/>
      </c>
      <c r="N30" s="65">
        <f>IF('06人流模型'!L6&lt;=0,0,业态参数!$P$30*'06人流模型'!L6/75)</f>
        <v/>
      </c>
      <c r="O30" s="65">
        <f>IF('06人流模型'!M6&lt;=0,0,业态参数!$P$30*'06人流模型'!M6/75)</f>
        <v/>
      </c>
      <c r="P30" s="65">
        <f>IF('06人流模型'!N6&lt;=0,0,业态参数!$P$30*'06人流模型'!N6/75)</f>
        <v/>
      </c>
      <c r="Q30" s="65">
        <f>IF('06人流模型'!O6&lt;=0,0,业态参数!$P$30*'06人流模型'!O6/75)</f>
        <v/>
      </c>
      <c r="R30" s="65">
        <f>IF('06人流模型'!P6&lt;=0,0,业态参数!$P$30*'06人流模型'!P6/75)</f>
        <v/>
      </c>
      <c r="S30" s="65">
        <f>IF('06人流模型'!Q6&lt;=0,0,业态参数!$P$30*'06人流模型'!Q6/75)</f>
        <v/>
      </c>
      <c r="T30" s="65">
        <f>IF('06人流模型'!R6&lt;=0,0,业态参数!$P$30*'06人流模型'!R6/75)</f>
        <v/>
      </c>
      <c r="U30" s="65">
        <f>IF('06人流模型'!S6&lt;=0,0,业态参数!$P$30*'06人流模型'!S6/75)</f>
        <v/>
      </c>
      <c r="V30" s="19">
        <f>IF($F$35=0,0,F30/$F$35)</f>
        <v/>
      </c>
    </row>
    <row r="31">
      <c r="A31" s="16" t="n">
        <v>27</v>
      </c>
      <c r="B31" s="11" t="inlineStr">
        <is>
          <t>健身区档期出租</t>
        </is>
      </c>
      <c r="C31" s="30" t="inlineStr">
        <is>
          <t>出租</t>
        </is>
      </c>
      <c r="D31" s="64">
        <f>IF('06人流模型'!B6&lt;=0,0,业态参数!$P$31*'06人流模型'!B6/75)</f>
        <v/>
      </c>
      <c r="E31" s="64">
        <f>IF('06人流模型'!C6&lt;=0,0,业态参数!$P$31*'06人流模型'!C6/75)</f>
        <v/>
      </c>
      <c r="F31" s="65">
        <f>IF('06人流模型'!D6&lt;=0,0,业态参数!$P$31*'06人流模型'!D6/75)</f>
        <v/>
      </c>
      <c r="G31" s="65">
        <f>IF('06人流模型'!E6&lt;=0,0,业态参数!$P$31*'06人流模型'!E6/75)</f>
        <v/>
      </c>
      <c r="H31" s="65">
        <f>IF('06人流模型'!F6&lt;=0,0,业态参数!$P$31*'06人流模型'!F6/75)</f>
        <v/>
      </c>
      <c r="I31" s="65">
        <f>IF('06人流模型'!G6&lt;=0,0,业态参数!$P$31*'06人流模型'!G6/75)</f>
        <v/>
      </c>
      <c r="J31" s="65">
        <f>IF('06人流模型'!H6&lt;=0,0,业态参数!$P$31*'06人流模型'!H6/75)</f>
        <v/>
      </c>
      <c r="K31" s="65">
        <f>IF('06人流模型'!I6&lt;=0,0,业态参数!$P$31*'06人流模型'!I6/75)</f>
        <v/>
      </c>
      <c r="L31" s="65">
        <f>IF('06人流模型'!J6&lt;=0,0,业态参数!$P$31*'06人流模型'!J6/75)</f>
        <v/>
      </c>
      <c r="M31" s="65">
        <f>IF('06人流模型'!K6&lt;=0,0,业态参数!$P$31*'06人流模型'!K6/75)</f>
        <v/>
      </c>
      <c r="N31" s="65">
        <f>IF('06人流模型'!L6&lt;=0,0,业态参数!$P$31*'06人流模型'!L6/75)</f>
        <v/>
      </c>
      <c r="O31" s="65">
        <f>IF('06人流模型'!M6&lt;=0,0,业态参数!$P$31*'06人流模型'!M6/75)</f>
        <v/>
      </c>
      <c r="P31" s="65">
        <f>IF('06人流模型'!N6&lt;=0,0,业态参数!$P$31*'06人流模型'!N6/75)</f>
        <v/>
      </c>
      <c r="Q31" s="65">
        <f>IF('06人流模型'!O6&lt;=0,0,业态参数!$P$31*'06人流模型'!O6/75)</f>
        <v/>
      </c>
      <c r="R31" s="65">
        <f>IF('06人流模型'!P6&lt;=0,0,业态参数!$P$31*'06人流模型'!P6/75)</f>
        <v/>
      </c>
      <c r="S31" s="65">
        <f>IF('06人流模型'!Q6&lt;=0,0,业态参数!$P$31*'06人流模型'!Q6/75)</f>
        <v/>
      </c>
      <c r="T31" s="65">
        <f>IF('06人流模型'!R6&lt;=0,0,业态参数!$P$31*'06人流模型'!R6/75)</f>
        <v/>
      </c>
      <c r="U31" s="65">
        <f>IF('06人流模型'!S6&lt;=0,0,业态参数!$P$31*'06人流模型'!S6/75)</f>
        <v/>
      </c>
      <c r="V31" s="19">
        <f>IF($F$35=0,0,F31/$F$35)</f>
        <v/>
      </c>
    </row>
    <row r="32">
      <c r="A32" s="16" t="n">
        <v>28</v>
      </c>
      <c r="B32" s="11" t="inlineStr">
        <is>
          <t>林学科普衍生品</t>
        </is>
      </c>
      <c r="C32" s="60" t="inlineStr">
        <is>
          <t>自营</t>
        </is>
      </c>
      <c r="D32" s="64">
        <f>IF('06人流模型'!B6&lt;=0,0,'06人流模型'!B6*业态参数!$G$32*业态参数!$H$32*业态参数!$F$32)</f>
        <v/>
      </c>
      <c r="E32" s="64">
        <f>IF('06人流模型'!C6&lt;=0,0,'06人流模型'!C6*业态参数!$G$32*业态参数!$H$32*业态参数!$F$32)</f>
        <v/>
      </c>
      <c r="F32" s="65">
        <f>IF('06人流模型'!D6&lt;=0,0,'06人流模型'!D6*业态参数!$G$32*业态参数!$H$32*业态参数!$F$32)</f>
        <v/>
      </c>
      <c r="G32" s="65">
        <f>IF('06人流模型'!E6&lt;=0,0,'06人流模型'!E6*业态参数!$G$32*业态参数!$H$32*业态参数!$F$32)</f>
        <v/>
      </c>
      <c r="H32" s="65">
        <f>IF('06人流模型'!F6&lt;=0,0,'06人流模型'!F6*业态参数!$G$32*业态参数!$H$32*业态参数!$F$32)</f>
        <v/>
      </c>
      <c r="I32" s="65">
        <f>IF('06人流模型'!G6&lt;=0,0,'06人流模型'!G6*业态参数!$G$32*业态参数!$H$32*业态参数!$F$32)</f>
        <v/>
      </c>
      <c r="J32" s="65">
        <f>IF('06人流模型'!H6&lt;=0,0,'06人流模型'!H6*业态参数!$G$32*业态参数!$H$32*业态参数!$F$32)</f>
        <v/>
      </c>
      <c r="K32" s="65">
        <f>IF('06人流模型'!I6&lt;=0,0,'06人流模型'!I6*业态参数!$G$32*业态参数!$H$32*业态参数!$F$32)</f>
        <v/>
      </c>
      <c r="L32" s="65">
        <f>IF('06人流模型'!J6&lt;=0,0,'06人流模型'!J6*业态参数!$G$32*业态参数!$H$32*业态参数!$F$32)</f>
        <v/>
      </c>
      <c r="M32" s="65">
        <f>IF('06人流模型'!K6&lt;=0,0,'06人流模型'!K6*业态参数!$G$32*业态参数!$H$32*业态参数!$F$32)</f>
        <v/>
      </c>
      <c r="N32" s="65">
        <f>IF('06人流模型'!L6&lt;=0,0,'06人流模型'!L6*业态参数!$G$32*业态参数!$H$32*业态参数!$F$32)</f>
        <v/>
      </c>
      <c r="O32" s="65">
        <f>IF('06人流模型'!M6&lt;=0,0,'06人流模型'!M6*业态参数!$G$32*业态参数!$H$32*业态参数!$F$32)</f>
        <v/>
      </c>
      <c r="P32" s="65">
        <f>IF('06人流模型'!N6&lt;=0,0,'06人流模型'!N6*业态参数!$G$32*业态参数!$H$32*业态参数!$F$32)</f>
        <v/>
      </c>
      <c r="Q32" s="65">
        <f>IF('06人流模型'!O6&lt;=0,0,'06人流模型'!O6*业态参数!$G$32*业态参数!$H$32*业态参数!$F$32)</f>
        <v/>
      </c>
      <c r="R32" s="65">
        <f>IF('06人流模型'!P6&lt;=0,0,'06人流模型'!P6*业态参数!$G$32*业态参数!$H$32*业态参数!$F$32)</f>
        <v/>
      </c>
      <c r="S32" s="65">
        <f>IF('06人流模型'!Q6&lt;=0,0,'06人流模型'!Q6*业态参数!$G$32*业态参数!$H$32*业态参数!$F$32)</f>
        <v/>
      </c>
      <c r="T32" s="65">
        <f>IF('06人流模型'!R6&lt;=0,0,'06人流模型'!R6*业态参数!$G$32*业态参数!$H$32*业态参数!$F$32)</f>
        <v/>
      </c>
      <c r="U32" s="65">
        <f>IF('06人流模型'!S6&lt;=0,0,'06人流模型'!S6*业态参数!$G$32*业态参数!$H$32*业态参数!$F$32)</f>
        <v/>
      </c>
      <c r="V32" s="19">
        <f>IF($F$35=0,0,F32/$F$35)</f>
        <v/>
      </c>
    </row>
    <row r="33">
      <c r="A33" s="16" t="n">
        <v>29</v>
      </c>
      <c r="B33" s="11" t="inlineStr">
        <is>
          <t>茶屋氧吧销售分成</t>
        </is>
      </c>
      <c r="C33" s="58" t="inlineStr">
        <is>
          <t>联营</t>
        </is>
      </c>
      <c r="D33" s="64">
        <f>IF('06人流模型'!B6&lt;=0,0,'06人流模型'!B6*业态参数!$G$33*业态参数!$H$33*业态参数!$F$33)</f>
        <v/>
      </c>
      <c r="E33" s="64">
        <f>IF('06人流模型'!C6&lt;=0,0,'06人流模型'!C6*业态参数!$G$33*业态参数!$H$33*业态参数!$F$33)</f>
        <v/>
      </c>
      <c r="F33" s="65">
        <f>IF('06人流模型'!D6&lt;=0,0,'06人流模型'!D6*业态参数!$G$33*业态参数!$H$33*业态参数!$F$33)</f>
        <v/>
      </c>
      <c r="G33" s="65">
        <f>IF('06人流模型'!E6&lt;=0,0,'06人流模型'!E6*业态参数!$G$33*业态参数!$H$33*业态参数!$F$33)</f>
        <v/>
      </c>
      <c r="H33" s="65">
        <f>IF('06人流模型'!F6&lt;=0,0,'06人流模型'!F6*业态参数!$G$33*业态参数!$H$33*业态参数!$F$33)</f>
        <v/>
      </c>
      <c r="I33" s="65">
        <f>IF('06人流模型'!G6&lt;=0,0,'06人流模型'!G6*业态参数!$G$33*业态参数!$H$33*业态参数!$F$33)</f>
        <v/>
      </c>
      <c r="J33" s="65">
        <f>IF('06人流模型'!H6&lt;=0,0,'06人流模型'!H6*业态参数!$G$33*业态参数!$H$33*业态参数!$F$33)</f>
        <v/>
      </c>
      <c r="K33" s="65">
        <f>IF('06人流模型'!I6&lt;=0,0,'06人流模型'!I6*业态参数!$G$33*业态参数!$H$33*业态参数!$F$33)</f>
        <v/>
      </c>
      <c r="L33" s="65">
        <f>IF('06人流模型'!J6&lt;=0,0,'06人流模型'!J6*业态参数!$G$33*业态参数!$H$33*业态参数!$F$33)</f>
        <v/>
      </c>
      <c r="M33" s="65">
        <f>IF('06人流模型'!K6&lt;=0,0,'06人流模型'!K6*业态参数!$G$33*业态参数!$H$33*业态参数!$F$33)</f>
        <v/>
      </c>
      <c r="N33" s="65">
        <f>IF('06人流模型'!L6&lt;=0,0,'06人流模型'!L6*业态参数!$G$33*业态参数!$H$33*业态参数!$F$33)</f>
        <v/>
      </c>
      <c r="O33" s="65">
        <f>IF('06人流模型'!M6&lt;=0,0,'06人流模型'!M6*业态参数!$G$33*业态参数!$H$33*业态参数!$F$33)</f>
        <v/>
      </c>
      <c r="P33" s="65">
        <f>IF('06人流模型'!N6&lt;=0,0,'06人流模型'!N6*业态参数!$G$33*业态参数!$H$33*业态参数!$F$33)</f>
        <v/>
      </c>
      <c r="Q33" s="65">
        <f>IF('06人流模型'!O6&lt;=0,0,'06人流模型'!O6*业态参数!$G$33*业态参数!$H$33*业态参数!$F$33)</f>
        <v/>
      </c>
      <c r="R33" s="65">
        <f>IF('06人流模型'!P6&lt;=0,0,'06人流模型'!P6*业态参数!$G$33*业态参数!$H$33*业态参数!$F$33)</f>
        <v/>
      </c>
      <c r="S33" s="65">
        <f>IF('06人流模型'!Q6&lt;=0,0,'06人流模型'!Q6*业态参数!$G$33*业态参数!$H$33*业态参数!$F$33)</f>
        <v/>
      </c>
      <c r="T33" s="65">
        <f>IF('06人流模型'!R6&lt;=0,0,'06人流模型'!R6*业态参数!$G$33*业态参数!$H$33*业态参数!$F$33)</f>
        <v/>
      </c>
      <c r="U33" s="65">
        <f>IF('06人流模型'!S6&lt;=0,0,'06人流模型'!S6*业态参数!$G$33*业态参数!$H$33*业态参数!$F$33)</f>
        <v/>
      </c>
      <c r="V33" s="19">
        <f>IF($F$35=0,0,F33/$F$35)</f>
        <v/>
      </c>
    </row>
    <row r="34">
      <c r="A34" s="16" t="n">
        <v>30</v>
      </c>
      <c r="B34" s="11" t="inlineStr">
        <is>
          <t>栈道观景打卡</t>
        </is>
      </c>
      <c r="C34" s="60" t="inlineStr">
        <is>
          <t>自营</t>
        </is>
      </c>
      <c r="D34" s="64">
        <f>IF('06人流模型'!B6&lt;=0,0,'06人流模型'!B6*业态参数!$G$34*业态参数!$H$34*业态参数!$F$34)</f>
        <v/>
      </c>
      <c r="E34" s="64">
        <f>IF('06人流模型'!C6&lt;=0,0,'06人流模型'!C6*业态参数!$G$34*业态参数!$H$34*业态参数!$F$34)</f>
        <v/>
      </c>
      <c r="F34" s="65">
        <f>IF('06人流模型'!D6&lt;=0,0,'06人流模型'!D6*业态参数!$G$34*业态参数!$H$34*业态参数!$F$34)</f>
        <v/>
      </c>
      <c r="G34" s="65">
        <f>IF('06人流模型'!E6&lt;=0,0,'06人流模型'!E6*业态参数!$G$34*业态参数!$H$34*业态参数!$F$34)</f>
        <v/>
      </c>
      <c r="H34" s="65">
        <f>IF('06人流模型'!F6&lt;=0,0,'06人流模型'!F6*业态参数!$G$34*业态参数!$H$34*业态参数!$F$34)</f>
        <v/>
      </c>
      <c r="I34" s="65">
        <f>IF('06人流模型'!G6&lt;=0,0,'06人流模型'!G6*业态参数!$G$34*业态参数!$H$34*业态参数!$F$34)</f>
        <v/>
      </c>
      <c r="J34" s="65">
        <f>IF('06人流模型'!H6&lt;=0,0,'06人流模型'!H6*业态参数!$G$34*业态参数!$H$34*业态参数!$F$34)</f>
        <v/>
      </c>
      <c r="K34" s="65">
        <f>IF('06人流模型'!I6&lt;=0,0,'06人流模型'!I6*业态参数!$G$34*业态参数!$H$34*业态参数!$F$34)</f>
        <v/>
      </c>
      <c r="L34" s="65">
        <f>IF('06人流模型'!J6&lt;=0,0,'06人流模型'!J6*业态参数!$G$34*业态参数!$H$34*业态参数!$F$34)</f>
        <v/>
      </c>
      <c r="M34" s="65">
        <f>IF('06人流模型'!K6&lt;=0,0,'06人流模型'!K6*业态参数!$G$34*业态参数!$H$34*业态参数!$F$34)</f>
        <v/>
      </c>
      <c r="N34" s="65">
        <f>IF('06人流模型'!L6&lt;=0,0,'06人流模型'!L6*业态参数!$G$34*业态参数!$H$34*业态参数!$F$34)</f>
        <v/>
      </c>
      <c r="O34" s="65">
        <f>IF('06人流模型'!M6&lt;=0,0,'06人流模型'!M6*业态参数!$G$34*业态参数!$H$34*业态参数!$F$34)</f>
        <v/>
      </c>
      <c r="P34" s="65">
        <f>IF('06人流模型'!N6&lt;=0,0,'06人流模型'!N6*业态参数!$G$34*业态参数!$H$34*业态参数!$F$34)</f>
        <v/>
      </c>
      <c r="Q34" s="65">
        <f>IF('06人流模型'!O6&lt;=0,0,'06人流模型'!O6*业态参数!$G$34*业态参数!$H$34*业态参数!$F$34)</f>
        <v/>
      </c>
      <c r="R34" s="65">
        <f>IF('06人流模型'!P6&lt;=0,0,'06人流模型'!P6*业态参数!$G$34*业态参数!$H$34*业态参数!$F$34)</f>
        <v/>
      </c>
      <c r="S34" s="65">
        <f>IF('06人流模型'!Q6&lt;=0,0,'06人流模型'!Q6*业态参数!$G$34*业态参数!$H$34*业态参数!$F$34)</f>
        <v/>
      </c>
      <c r="T34" s="65">
        <f>IF('06人流模型'!R6&lt;=0,0,'06人流模型'!R6*业态参数!$G$34*业态参数!$H$34*业态参数!$F$34)</f>
        <v/>
      </c>
      <c r="U34" s="65">
        <f>IF('06人流模型'!S6&lt;=0,0,'06人流模型'!S6*业态参数!$G$34*业态参数!$H$34*业态参数!$F$34)</f>
        <v/>
      </c>
      <c r="V34" s="19">
        <f>IF($F$35=0,0,F34/$F$35)</f>
        <v/>
      </c>
    </row>
    <row r="35">
      <c r="A35" s="66" t="inlineStr"/>
      <c r="B35" s="23" t="inlineStr">
        <is>
          <t>公园账面收入合计</t>
        </is>
      </c>
      <c r="C35" s="66" t="inlineStr"/>
      <c r="D35" s="67">
        <f>SUM(D5:D34)</f>
        <v/>
      </c>
      <c r="E35" s="67">
        <f>SUM(E5:E34)</f>
        <v/>
      </c>
      <c r="F35" s="67">
        <f>SUM(F5:F34)</f>
        <v/>
      </c>
      <c r="G35" s="67">
        <f>SUM(G5:G34)</f>
        <v/>
      </c>
      <c r="H35" s="67">
        <f>SUM(H5:H34)</f>
        <v/>
      </c>
      <c r="I35" s="67">
        <f>SUM(I5:I34)</f>
        <v/>
      </c>
      <c r="J35" s="67">
        <f>SUM(J5:J34)</f>
        <v/>
      </c>
      <c r="K35" s="67">
        <f>SUM(K5:K34)</f>
        <v/>
      </c>
      <c r="L35" s="67">
        <f>SUM(L5:L34)</f>
        <v/>
      </c>
      <c r="M35" s="67">
        <f>SUM(M5:M34)</f>
        <v/>
      </c>
      <c r="N35" s="67">
        <f>SUM(N5:N34)</f>
        <v/>
      </c>
      <c r="O35" s="67">
        <f>SUM(O5:O34)</f>
        <v/>
      </c>
      <c r="P35" s="67">
        <f>SUM(P5:P34)</f>
        <v/>
      </c>
      <c r="Q35" s="67">
        <f>SUM(Q5:Q34)</f>
        <v/>
      </c>
      <c r="R35" s="67">
        <f>SUM(R5:R34)</f>
        <v/>
      </c>
      <c r="S35" s="67">
        <f>SUM(S5:S34)</f>
        <v/>
      </c>
      <c r="T35" s="67">
        <f>SUM(T5:T34)</f>
        <v/>
      </c>
      <c r="U35" s="67">
        <f>SUM(U5:U34)</f>
        <v/>
      </c>
      <c r="V35" s="68">
        <f>SUM(V5:V34)</f>
        <v/>
      </c>
    </row>
    <row r="36">
      <c r="B36" s="24" t="inlineStr">
        <is>
          <t>联营收入小计</t>
        </is>
      </c>
      <c r="C36" s="58" t="inlineStr">
        <is>
          <t>联营</t>
        </is>
      </c>
      <c r="D36" s="69">
        <f>SUMIF($C$5:$C$34,C36,D5:D34)</f>
        <v/>
      </c>
      <c r="E36" s="69">
        <f>SUMIF($C$5:$C$34,C36,E5:E34)</f>
        <v/>
      </c>
      <c r="F36" s="69">
        <f>SUMIF($C$5:$C$34,C36,F5:F34)</f>
        <v/>
      </c>
      <c r="G36" s="69">
        <f>SUMIF($C$5:$C$34,C36,G5:G34)</f>
        <v/>
      </c>
      <c r="H36" s="69">
        <f>SUMIF($C$5:$C$34,C36,H5:H34)</f>
        <v/>
      </c>
      <c r="I36" s="69">
        <f>SUMIF($C$5:$C$34,C36,I5:I34)</f>
        <v/>
      </c>
      <c r="J36" s="69">
        <f>SUMIF($C$5:$C$34,C36,J5:J34)</f>
        <v/>
      </c>
      <c r="K36" s="69">
        <f>SUMIF($C$5:$C$34,C36,K5:K34)</f>
        <v/>
      </c>
      <c r="L36" s="69">
        <f>SUMIF($C$5:$C$34,C36,L5:L34)</f>
        <v/>
      </c>
      <c r="M36" s="69">
        <f>SUMIF($C$5:$C$34,C36,M5:M34)</f>
        <v/>
      </c>
      <c r="N36" s="69">
        <f>SUMIF($C$5:$C$34,C36,N5:N34)</f>
        <v/>
      </c>
      <c r="O36" s="69">
        <f>SUMIF($C$5:$C$34,C36,O5:O34)</f>
        <v/>
      </c>
      <c r="P36" s="69">
        <f>SUMIF($C$5:$C$34,C36,P5:P34)</f>
        <v/>
      </c>
      <c r="Q36" s="69">
        <f>SUMIF($C$5:$C$34,C36,Q5:Q34)</f>
        <v/>
      </c>
      <c r="R36" s="69">
        <f>SUMIF($C$5:$C$34,C36,R5:R34)</f>
        <v/>
      </c>
      <c r="S36" s="69">
        <f>SUMIF($C$5:$C$34,C36,S5:S34)</f>
        <v/>
      </c>
      <c r="T36" s="69">
        <f>SUMIF($C$5:$C$34,C36,T5:T34)</f>
        <v/>
      </c>
      <c r="U36" s="69">
        <f>SUMIF($C$5:$C$34,C36,U5:U34)</f>
        <v/>
      </c>
    </row>
    <row r="37">
      <c r="B37" s="25" t="inlineStr">
        <is>
          <t>自营收入小计</t>
        </is>
      </c>
      <c r="C37" s="60" t="inlineStr">
        <is>
          <t>自营</t>
        </is>
      </c>
      <c r="D37" s="70">
        <f>SUMIF($C$5:$C$34,C37,D5:D34)</f>
        <v/>
      </c>
      <c r="E37" s="70">
        <f>SUMIF($C$5:$C$34,C37,E5:E34)</f>
        <v/>
      </c>
      <c r="F37" s="70">
        <f>SUMIF($C$5:$C$34,C37,F5:F34)</f>
        <v/>
      </c>
      <c r="G37" s="70">
        <f>SUMIF($C$5:$C$34,C37,G5:G34)</f>
        <v/>
      </c>
      <c r="H37" s="70">
        <f>SUMIF($C$5:$C$34,C37,H5:H34)</f>
        <v/>
      </c>
      <c r="I37" s="70">
        <f>SUMIF($C$5:$C$34,C37,I5:I34)</f>
        <v/>
      </c>
      <c r="J37" s="70">
        <f>SUMIF($C$5:$C$34,C37,J5:J34)</f>
        <v/>
      </c>
      <c r="K37" s="70">
        <f>SUMIF($C$5:$C$34,C37,K5:K34)</f>
        <v/>
      </c>
      <c r="L37" s="70">
        <f>SUMIF($C$5:$C$34,C37,L5:L34)</f>
        <v/>
      </c>
      <c r="M37" s="70">
        <f>SUMIF($C$5:$C$34,C37,M5:M34)</f>
        <v/>
      </c>
      <c r="N37" s="70">
        <f>SUMIF($C$5:$C$34,C37,N5:N34)</f>
        <v/>
      </c>
      <c r="O37" s="70">
        <f>SUMIF($C$5:$C$34,C37,O5:O34)</f>
        <v/>
      </c>
      <c r="P37" s="70">
        <f>SUMIF($C$5:$C$34,C37,P5:P34)</f>
        <v/>
      </c>
      <c r="Q37" s="70">
        <f>SUMIF($C$5:$C$34,C37,Q5:Q34)</f>
        <v/>
      </c>
      <c r="R37" s="70">
        <f>SUMIF($C$5:$C$34,C37,R5:R34)</f>
        <v/>
      </c>
      <c r="S37" s="70">
        <f>SUMIF($C$5:$C$34,C37,S5:S34)</f>
        <v/>
      </c>
      <c r="T37" s="70">
        <f>SUMIF($C$5:$C$34,C37,T5:T34)</f>
        <v/>
      </c>
      <c r="U37" s="70">
        <f>SUMIF($C$5:$C$34,C37,U5:U34)</f>
        <v/>
      </c>
    </row>
    <row r="38">
      <c r="B38" s="13" t="inlineStr">
        <is>
          <t>出租收入小计</t>
        </is>
      </c>
      <c r="C38" s="30" t="inlineStr">
        <is>
          <t>出租</t>
        </is>
      </c>
      <c r="D38" s="15">
        <f>SUMIF($C$5:$C$34,C38,D5:D34)</f>
        <v/>
      </c>
      <c r="E38" s="15">
        <f>SUMIF($C$5:$C$34,C38,E5:E34)</f>
        <v/>
      </c>
      <c r="F38" s="15">
        <f>SUMIF($C$5:$C$34,C38,F5:F34)</f>
        <v/>
      </c>
      <c r="G38" s="15">
        <f>SUMIF($C$5:$C$34,C38,G5:G34)</f>
        <v/>
      </c>
      <c r="H38" s="15">
        <f>SUMIF($C$5:$C$34,C38,H5:H34)</f>
        <v/>
      </c>
      <c r="I38" s="15">
        <f>SUMIF($C$5:$C$34,C38,I5:I34)</f>
        <v/>
      </c>
      <c r="J38" s="15">
        <f>SUMIF($C$5:$C$34,C38,J5:J34)</f>
        <v/>
      </c>
      <c r="K38" s="15">
        <f>SUMIF($C$5:$C$34,C38,K5:K34)</f>
        <v/>
      </c>
      <c r="L38" s="15">
        <f>SUMIF($C$5:$C$34,C38,L5:L34)</f>
        <v/>
      </c>
      <c r="M38" s="15">
        <f>SUMIF($C$5:$C$34,C38,M5:M34)</f>
        <v/>
      </c>
      <c r="N38" s="15">
        <f>SUMIF($C$5:$C$34,C38,N5:N34)</f>
        <v/>
      </c>
      <c r="O38" s="15">
        <f>SUMIF($C$5:$C$34,C38,O5:O34)</f>
        <v/>
      </c>
      <c r="P38" s="15">
        <f>SUMIF($C$5:$C$34,C38,P5:P34)</f>
        <v/>
      </c>
      <c r="Q38" s="15">
        <f>SUMIF($C$5:$C$34,C38,Q5:Q34)</f>
        <v/>
      </c>
      <c r="R38" s="15">
        <f>SUMIF($C$5:$C$34,C38,R5:R34)</f>
        <v/>
      </c>
      <c r="S38" s="15">
        <f>SUMIF($C$5:$C$34,C38,S5:S34)</f>
        <v/>
      </c>
      <c r="T38" s="15">
        <f>SUMIF($C$5:$C$34,C38,T5:T34)</f>
        <v/>
      </c>
      <c r="U38" s="15">
        <f>SUMIF($C$5:$C$34,C38,U5:U34)</f>
        <v/>
      </c>
    </row>
    <row r="39">
      <c r="B39" s="26" t="inlineStr">
        <is>
          <t>品牌加盟收入小计</t>
        </is>
      </c>
      <c r="C39" s="59" t="inlineStr">
        <is>
          <t>品牌加盟</t>
        </is>
      </c>
      <c r="D39" s="71">
        <f>SUMIF($C$5:$C$34,C39,D5:D34)</f>
        <v/>
      </c>
      <c r="E39" s="71">
        <f>SUMIF($C$5:$C$34,C39,E5:E34)</f>
        <v/>
      </c>
      <c r="F39" s="71">
        <f>SUMIF($C$5:$C$34,C39,F5:F34)</f>
        <v/>
      </c>
      <c r="G39" s="71">
        <f>SUMIF($C$5:$C$34,C39,G5:G34)</f>
        <v/>
      </c>
      <c r="H39" s="71">
        <f>SUMIF($C$5:$C$34,C39,H5:H34)</f>
        <v/>
      </c>
      <c r="I39" s="71">
        <f>SUMIF($C$5:$C$34,C39,I5:I34)</f>
        <v/>
      </c>
      <c r="J39" s="71">
        <f>SUMIF($C$5:$C$34,C39,J5:J34)</f>
        <v/>
      </c>
      <c r="K39" s="71">
        <f>SUMIF($C$5:$C$34,C39,K5:K34)</f>
        <v/>
      </c>
      <c r="L39" s="71">
        <f>SUMIF($C$5:$C$34,C39,L5:L34)</f>
        <v/>
      </c>
      <c r="M39" s="71">
        <f>SUMIF($C$5:$C$34,C39,M5:M34)</f>
        <v/>
      </c>
      <c r="N39" s="71">
        <f>SUMIF($C$5:$C$34,C39,N5:N34)</f>
        <v/>
      </c>
      <c r="O39" s="71">
        <f>SUMIF($C$5:$C$34,C39,O5:O34)</f>
        <v/>
      </c>
      <c r="P39" s="71">
        <f>SUMIF($C$5:$C$34,C39,P5:P34)</f>
        <v/>
      </c>
      <c r="Q39" s="71">
        <f>SUMIF($C$5:$C$34,C39,Q5:Q34)</f>
        <v/>
      </c>
      <c r="R39" s="71">
        <f>SUMIF($C$5:$C$34,C39,R5:R34)</f>
        <v/>
      </c>
      <c r="S39" s="71">
        <f>SUMIF($C$5:$C$34,C39,S5:S34)</f>
        <v/>
      </c>
      <c r="T39" s="71">
        <f>SUMIF($C$5:$C$34,C39,T5:T34)</f>
        <v/>
      </c>
      <c r="U39" s="71">
        <f>SUMIF($C$5:$C$34,C39,U5:U34)</f>
        <v/>
      </c>
    </row>
    <row r="41">
      <c r="B41" s="13" t="inlineStr">
        <is>
          <t>游客消费总额（表6校验）</t>
        </is>
      </c>
      <c r="D41" s="15">
        <f>'06人流模型'!B9</f>
        <v/>
      </c>
      <c r="E41" s="15">
        <f>'06人流模型'!C9</f>
        <v/>
      </c>
      <c r="F41" s="15">
        <f>'06人流模型'!D9</f>
        <v/>
      </c>
      <c r="G41" s="15">
        <f>'06人流模型'!E9</f>
        <v/>
      </c>
      <c r="H41" s="15">
        <f>'06人流模型'!F9</f>
        <v/>
      </c>
      <c r="I41" s="15">
        <f>'06人流模型'!G9</f>
        <v/>
      </c>
      <c r="J41" s="15">
        <f>'06人流模型'!H9</f>
        <v/>
      </c>
      <c r="K41" s="15">
        <f>'06人流模型'!I9</f>
        <v/>
      </c>
      <c r="L41" s="15">
        <f>'06人流模型'!J9</f>
        <v/>
      </c>
      <c r="M41" s="15">
        <f>'06人流模型'!K9</f>
        <v/>
      </c>
      <c r="N41" s="15">
        <f>'06人流模型'!L9</f>
        <v/>
      </c>
      <c r="O41" s="15">
        <f>'06人流模型'!M9</f>
        <v/>
      </c>
      <c r="P41" s="15">
        <f>'06人流模型'!N9</f>
        <v/>
      </c>
      <c r="Q41" s="15">
        <f>'06人流模型'!O9</f>
        <v/>
      </c>
      <c r="R41" s="15">
        <f>'06人流模型'!P9</f>
        <v/>
      </c>
      <c r="S41" s="15">
        <f>'06人流模型'!Q9</f>
        <v/>
      </c>
      <c r="T41" s="15">
        <f>'06人流模型'!R9</f>
        <v/>
      </c>
      <c r="U41" s="15">
        <f>'06人流模型'!S9</f>
        <v/>
      </c>
    </row>
    <row r="42">
      <c r="B42" s="13" t="inlineStr">
        <is>
          <t>公园捕获率</t>
        </is>
      </c>
      <c r="D42" s="72">
        <f>IF(D41=0,0,D35/D41)</f>
        <v/>
      </c>
      <c r="E42" s="72">
        <f>IF(E41=0,0,E35/E41)</f>
        <v/>
      </c>
      <c r="F42" s="72">
        <f>IF(F41=0,0,F35/F41)</f>
        <v/>
      </c>
      <c r="G42" s="72">
        <f>IF(G41=0,0,G35/G41)</f>
        <v/>
      </c>
      <c r="H42" s="72">
        <f>IF(H41=0,0,H35/H41)</f>
        <v/>
      </c>
      <c r="I42" s="72">
        <f>IF(I41=0,0,I35/I41)</f>
        <v/>
      </c>
      <c r="J42" s="72">
        <f>IF(J41=0,0,J35/J41)</f>
        <v/>
      </c>
      <c r="K42" s="72">
        <f>IF(K41=0,0,K35/K41)</f>
        <v/>
      </c>
      <c r="L42" s="72">
        <f>IF(L41=0,0,L35/L41)</f>
        <v/>
      </c>
      <c r="M42" s="72">
        <f>IF(M41=0,0,M35/M41)</f>
        <v/>
      </c>
      <c r="N42" s="72">
        <f>IF(N41=0,0,N35/N41)</f>
        <v/>
      </c>
      <c r="O42" s="72">
        <f>IF(O41=0,0,O35/O41)</f>
        <v/>
      </c>
      <c r="P42" s="72">
        <f>IF(P41=0,0,P35/P41)</f>
        <v/>
      </c>
      <c r="Q42" s="72">
        <f>IF(Q41=0,0,Q35/Q41)</f>
        <v/>
      </c>
      <c r="R42" s="72">
        <f>IF(R41=0,0,R35/R41)</f>
        <v/>
      </c>
      <c r="S42" s="72">
        <f>IF(S41=0,0,S35/S41)</f>
        <v/>
      </c>
      <c r="T42" s="72">
        <f>IF(T41=0,0,T35/T41)</f>
        <v/>
      </c>
      <c r="U42" s="72">
        <f>IF(U41=0,0,U35/U41)</f>
        <v/>
      </c>
    </row>
    <row r="43">
      <c r="B43" s="11" t="inlineStr">
        <is>
          <t>全客流人均公园贡献（元）</t>
        </is>
      </c>
      <c r="D43" s="18">
        <f>IF('06人流模型'!B6=0,0,D35/'06人流模型'!B6)</f>
        <v/>
      </c>
      <c r="E43" s="18">
        <f>IF('06人流模型'!C6=0,0,E35/'06人流模型'!C6)</f>
        <v/>
      </c>
      <c r="F43" s="18">
        <f>IF('06人流模型'!D6=0,0,F35/'06人流模型'!D6)</f>
        <v/>
      </c>
      <c r="G43" s="18">
        <f>IF('06人流模型'!E6=0,0,G35/'06人流模型'!E6)</f>
        <v/>
      </c>
      <c r="H43" s="18">
        <f>IF('06人流模型'!F6=0,0,H35/'06人流模型'!F6)</f>
        <v/>
      </c>
      <c r="I43" s="18">
        <f>IF('06人流模型'!G6=0,0,I35/'06人流模型'!G6)</f>
        <v/>
      </c>
      <c r="J43" s="18">
        <f>IF('06人流模型'!H6=0,0,J35/'06人流模型'!H6)</f>
        <v/>
      </c>
      <c r="K43" s="18">
        <f>IF('06人流模型'!I6=0,0,K35/'06人流模型'!I6)</f>
        <v/>
      </c>
      <c r="L43" s="18">
        <f>IF('06人流模型'!J6=0,0,L35/'06人流模型'!J6)</f>
        <v/>
      </c>
      <c r="M43" s="18">
        <f>IF('06人流模型'!K6=0,0,M35/'06人流模型'!K6)</f>
        <v/>
      </c>
      <c r="N43" s="18">
        <f>IF('06人流模型'!L6=0,0,N35/'06人流模型'!L6)</f>
        <v/>
      </c>
      <c r="O43" s="18">
        <f>IF('06人流模型'!M6=0,0,O35/'06人流模型'!M6)</f>
        <v/>
      </c>
      <c r="P43" s="18">
        <f>IF('06人流模型'!N6=0,0,P35/'06人流模型'!N6)</f>
        <v/>
      </c>
      <c r="Q43" s="18">
        <f>IF('06人流模型'!O6=0,0,Q35/'06人流模型'!O6)</f>
        <v/>
      </c>
      <c r="R43" s="18">
        <f>IF('06人流模型'!P6=0,0,R35/'06人流模型'!P6)</f>
        <v/>
      </c>
      <c r="S43" s="18">
        <f>IF('06人流模型'!Q6=0,0,S35/'06人流模型'!Q6)</f>
        <v/>
      </c>
      <c r="T43" s="18">
        <f>IF('06人流模型'!R6=0,0,T35/'06人流模型'!R6)</f>
        <v/>
      </c>
      <c r="U43" s="18">
        <f>IF('06人流模型'!S6=0,0,U35/'06人流模型'!S6)</f>
        <v/>
      </c>
    </row>
  </sheetData>
  <mergeCells count="3">
    <mergeCell ref="A2:V2"/>
    <mergeCell ref="A1:V1"/>
    <mergeCell ref="A3:V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B7950B"/>
    <outlinePr summaryBelow="1" summaryRight="1"/>
    <pageSetUpPr fitToPage="1"/>
  </sheetPr>
  <dimension ref="A1:T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1" t="inlineStr">
        <is>
          <t>超级宝贝王｜品牌加盟收入与成本（万元）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4">
      <c r="A4" s="4" t="inlineStr">
        <is>
          <t>测算项</t>
        </is>
      </c>
      <c r="B4" s="4" t="inlineStr">
        <is>
          <t>第1年</t>
        </is>
      </c>
      <c r="C4" s="4" t="inlineStr">
        <is>
          <t>第2年</t>
        </is>
      </c>
      <c r="D4" s="4" t="inlineStr">
        <is>
          <t>第3年</t>
        </is>
      </c>
      <c r="E4" s="4" t="inlineStr">
        <is>
          <t>第4年</t>
        </is>
      </c>
      <c r="F4" s="4" t="inlineStr">
        <is>
          <t>第5年</t>
        </is>
      </c>
      <c r="G4" s="4" t="inlineStr">
        <is>
          <t>第6年</t>
        </is>
      </c>
      <c r="H4" s="4" t="inlineStr">
        <is>
          <t>第7年</t>
        </is>
      </c>
      <c r="I4" s="4" t="inlineStr">
        <is>
          <t>第8年</t>
        </is>
      </c>
      <c r="J4" s="4" t="inlineStr">
        <is>
          <t>第9年</t>
        </is>
      </c>
      <c r="K4" s="4" t="inlineStr">
        <is>
          <t>第10年</t>
        </is>
      </c>
      <c r="L4" s="4" t="inlineStr">
        <is>
          <t>第11年</t>
        </is>
      </c>
      <c r="M4" s="4" t="inlineStr">
        <is>
          <t>第12年</t>
        </is>
      </c>
      <c r="N4" s="4" t="inlineStr">
        <is>
          <t>第13年</t>
        </is>
      </c>
      <c r="O4" s="4" t="inlineStr">
        <is>
          <t>第14年</t>
        </is>
      </c>
      <c r="P4" s="4" t="inlineStr">
        <is>
          <t>第15年</t>
        </is>
      </c>
      <c r="Q4" s="4" t="inlineStr">
        <is>
          <t>第16年</t>
        </is>
      </c>
      <c r="R4" s="4" t="inlineStr">
        <is>
          <t>第17年</t>
        </is>
      </c>
      <c r="S4" s="4" t="inlineStr">
        <is>
          <t>第18年</t>
        </is>
      </c>
    </row>
    <row r="5">
      <c r="A5" s="11" t="inlineStr">
        <is>
          <t>全园人次（万人）</t>
        </is>
      </c>
      <c r="B5" s="64">
        <f>'06人流模型'!B6</f>
        <v/>
      </c>
      <c r="C5" s="64">
        <f>'06人流模型'!C6</f>
        <v/>
      </c>
      <c r="D5" s="65">
        <f>'06人流模型'!D6</f>
        <v/>
      </c>
      <c r="E5" s="65">
        <f>'06人流模型'!E6</f>
        <v/>
      </c>
      <c r="F5" s="65">
        <f>'06人流模型'!F6</f>
        <v/>
      </c>
      <c r="G5" s="65">
        <f>'06人流模型'!G6</f>
        <v/>
      </c>
      <c r="H5" s="65">
        <f>'06人流模型'!H6</f>
        <v/>
      </c>
      <c r="I5" s="65">
        <f>'06人流模型'!I6</f>
        <v/>
      </c>
      <c r="J5" s="65">
        <f>'06人流模型'!J6</f>
        <v/>
      </c>
      <c r="K5" s="65">
        <f>'06人流模型'!K6</f>
        <v/>
      </c>
      <c r="L5" s="65">
        <f>'06人流模型'!L6</f>
        <v/>
      </c>
      <c r="M5" s="65">
        <f>'06人流模型'!M6</f>
        <v/>
      </c>
      <c r="N5" s="65">
        <f>'06人流模型'!N6</f>
        <v/>
      </c>
      <c r="O5" s="65">
        <f>'06人流模型'!O6</f>
        <v/>
      </c>
      <c r="P5" s="65">
        <f>'06人流模型'!P6</f>
        <v/>
      </c>
      <c r="Q5" s="65">
        <f>'06人流模型'!Q6</f>
        <v/>
      </c>
      <c r="R5" s="65">
        <f>'06人流模型'!R6</f>
        <v/>
      </c>
      <c r="S5" s="65">
        <f>'06人流模型'!S6</f>
        <v/>
      </c>
    </row>
    <row r="6">
      <c r="A6" s="11" t="inlineStr">
        <is>
          <t>研学客流（万人）</t>
        </is>
      </c>
      <c r="B6" s="64">
        <f>IF(B5&lt;=0,0,MIN(20,B5*业态参数!$B$38))</f>
        <v/>
      </c>
      <c r="C6" s="64">
        <f>IF(C5&lt;=0,0,MIN(20,C5*业态参数!$B$38))</f>
        <v/>
      </c>
      <c r="D6" s="65">
        <f>IF(D5&lt;=0,0,MIN(20,D5*业态参数!$B$38))</f>
        <v/>
      </c>
      <c r="E6" s="65">
        <f>IF(E5&lt;=0,0,MIN(20,E5*业态参数!$B$38))</f>
        <v/>
      </c>
      <c r="F6" s="65">
        <f>IF(F5&lt;=0,0,MIN(20,F5*业态参数!$B$38))</f>
        <v/>
      </c>
      <c r="G6" s="65">
        <f>IF(G5&lt;=0,0,MIN(20,G5*业态参数!$B$38))</f>
        <v/>
      </c>
      <c r="H6" s="65">
        <f>IF(H5&lt;=0,0,MIN(20,H5*业态参数!$B$38))</f>
        <v/>
      </c>
      <c r="I6" s="65">
        <f>IF(I5&lt;=0,0,MIN(20,I5*业态参数!$B$38))</f>
        <v/>
      </c>
      <c r="J6" s="65">
        <f>IF(J5&lt;=0,0,MIN(20,J5*业态参数!$B$38))</f>
        <v/>
      </c>
      <c r="K6" s="65">
        <f>IF(K5&lt;=0,0,MIN(20,K5*业态参数!$B$38))</f>
        <v/>
      </c>
      <c r="L6" s="65">
        <f>IF(L5&lt;=0,0,MIN(20,L5*业态参数!$B$38))</f>
        <v/>
      </c>
      <c r="M6" s="65">
        <f>IF(M5&lt;=0,0,MIN(20,M5*业态参数!$B$38))</f>
        <v/>
      </c>
      <c r="N6" s="65">
        <f>IF(N5&lt;=0,0,MIN(20,N5*业态参数!$B$38))</f>
        <v/>
      </c>
      <c r="O6" s="65">
        <f>IF(O5&lt;=0,0,MIN(20,O5*业态参数!$B$38))</f>
        <v/>
      </c>
      <c r="P6" s="65">
        <f>IF(P5&lt;=0,0,MIN(20,P5*业态参数!$B$38))</f>
        <v/>
      </c>
      <c r="Q6" s="65">
        <f>IF(Q5&lt;=0,0,MIN(20,Q5*业态参数!$B$38))</f>
        <v/>
      </c>
      <c r="R6" s="65">
        <f>IF(R5&lt;=0,0,MIN(20,R5*业态参数!$B$38))</f>
        <v/>
      </c>
      <c r="S6" s="65">
        <f>IF(S5&lt;=0,0,MIN(20,S5*业态参数!$B$38))</f>
        <v/>
      </c>
    </row>
    <row r="7">
      <c r="A7" s="11" t="inlineStr">
        <is>
          <t>一般客流（万人）</t>
        </is>
      </c>
      <c r="B7" s="64">
        <f>IF(B5&lt;=0,0,MIN(20,B5*业态参数!$B$39))</f>
        <v/>
      </c>
      <c r="C7" s="64">
        <f>IF(C5&lt;=0,0,MIN(20,C5*业态参数!$B$39))</f>
        <v/>
      </c>
      <c r="D7" s="65">
        <f>IF(D5&lt;=0,0,MIN(20,D5*业态参数!$B$39))</f>
        <v/>
      </c>
      <c r="E7" s="65">
        <f>IF(E5&lt;=0,0,MIN(20,E5*业态参数!$B$39))</f>
        <v/>
      </c>
      <c r="F7" s="65">
        <f>IF(F5&lt;=0,0,MIN(20,F5*业态参数!$B$39))</f>
        <v/>
      </c>
      <c r="G7" s="65">
        <f>IF(G5&lt;=0,0,MIN(20,G5*业态参数!$B$39))</f>
        <v/>
      </c>
      <c r="H7" s="65">
        <f>IF(H5&lt;=0,0,MIN(20,H5*业态参数!$B$39))</f>
        <v/>
      </c>
      <c r="I7" s="65">
        <f>IF(I5&lt;=0,0,MIN(20,I5*业态参数!$B$39))</f>
        <v/>
      </c>
      <c r="J7" s="65">
        <f>IF(J5&lt;=0,0,MIN(20,J5*业态参数!$B$39))</f>
        <v/>
      </c>
      <c r="K7" s="65">
        <f>IF(K5&lt;=0,0,MIN(20,K5*业态参数!$B$39))</f>
        <v/>
      </c>
      <c r="L7" s="65">
        <f>IF(L5&lt;=0,0,MIN(20,L5*业态参数!$B$39))</f>
        <v/>
      </c>
      <c r="M7" s="65">
        <f>IF(M5&lt;=0,0,MIN(20,M5*业态参数!$B$39))</f>
        <v/>
      </c>
      <c r="N7" s="65">
        <f>IF(N5&lt;=0,0,MIN(20,N5*业态参数!$B$39))</f>
        <v/>
      </c>
      <c r="O7" s="65">
        <f>IF(O5&lt;=0,0,MIN(20,O5*业态参数!$B$39))</f>
        <v/>
      </c>
      <c r="P7" s="65">
        <f>IF(P5&lt;=0,0,MIN(20,P5*业态参数!$B$39))</f>
        <v/>
      </c>
      <c r="Q7" s="65">
        <f>IF(Q5&lt;=0,0,MIN(20,Q5*业态参数!$B$39))</f>
        <v/>
      </c>
      <c r="R7" s="65">
        <f>IF(R5&lt;=0,0,MIN(20,R5*业态参数!$B$39))</f>
        <v/>
      </c>
      <c r="S7" s="65">
        <f>IF(S5&lt;=0,0,MIN(20,S5*业态参数!$B$39))</f>
        <v/>
      </c>
    </row>
    <row r="8">
      <c r="A8" s="11" t="inlineStr">
        <is>
          <t>总接待（万人）</t>
        </is>
      </c>
      <c r="B8" s="64">
        <f>B6+B7</f>
        <v/>
      </c>
      <c r="C8" s="64">
        <f>C6+C7</f>
        <v/>
      </c>
      <c r="D8" s="65">
        <f>D6+D7</f>
        <v/>
      </c>
      <c r="E8" s="65">
        <f>E6+E7</f>
        <v/>
      </c>
      <c r="F8" s="65">
        <f>F6+F7</f>
        <v/>
      </c>
      <c r="G8" s="65">
        <f>G6+G7</f>
        <v/>
      </c>
      <c r="H8" s="65">
        <f>H6+H7</f>
        <v/>
      </c>
      <c r="I8" s="65">
        <f>I6+I7</f>
        <v/>
      </c>
      <c r="J8" s="65">
        <f>J6+J7</f>
        <v/>
      </c>
      <c r="K8" s="65">
        <f>K6+K7</f>
        <v/>
      </c>
      <c r="L8" s="65">
        <f>L6+L7</f>
        <v/>
      </c>
      <c r="M8" s="65">
        <f>M6+M7</f>
        <v/>
      </c>
      <c r="N8" s="65">
        <f>N6+N7</f>
        <v/>
      </c>
      <c r="O8" s="65">
        <f>O6+O7</f>
        <v/>
      </c>
      <c r="P8" s="65">
        <f>P6+P7</f>
        <v/>
      </c>
      <c r="Q8" s="65">
        <f>Q6+Q7</f>
        <v/>
      </c>
      <c r="R8" s="65">
        <f>R6+R7</f>
        <v/>
      </c>
      <c r="S8" s="65">
        <f>S6+S7</f>
        <v/>
      </c>
    </row>
    <row r="9">
      <c r="A9" s="11" t="inlineStr">
        <is>
          <t>研学收入</t>
        </is>
      </c>
      <c r="B9" s="64">
        <f>B6*业态参数!$B$40</f>
        <v/>
      </c>
      <c r="C9" s="64">
        <f>C6*业态参数!$B$40</f>
        <v/>
      </c>
      <c r="D9" s="65">
        <f>D6*业态参数!$B$40</f>
        <v/>
      </c>
      <c r="E9" s="65">
        <f>E6*业态参数!$B$40</f>
        <v/>
      </c>
      <c r="F9" s="65">
        <f>F6*业态参数!$B$40</f>
        <v/>
      </c>
      <c r="G9" s="65">
        <f>G6*业态参数!$B$40</f>
        <v/>
      </c>
      <c r="H9" s="65">
        <f>H6*业态参数!$B$40</f>
        <v/>
      </c>
      <c r="I9" s="65">
        <f>I6*业态参数!$B$40</f>
        <v/>
      </c>
      <c r="J9" s="65">
        <f>J6*业态参数!$B$40</f>
        <v/>
      </c>
      <c r="K9" s="65">
        <f>K6*业态参数!$B$40</f>
        <v/>
      </c>
      <c r="L9" s="65">
        <f>L6*业态参数!$B$40</f>
        <v/>
      </c>
      <c r="M9" s="65">
        <f>M6*业态参数!$B$40</f>
        <v/>
      </c>
      <c r="N9" s="65">
        <f>N6*业态参数!$B$40</f>
        <v/>
      </c>
      <c r="O9" s="65">
        <f>O6*业态参数!$B$40</f>
        <v/>
      </c>
      <c r="P9" s="65">
        <f>P6*业态参数!$B$40</f>
        <v/>
      </c>
      <c r="Q9" s="65">
        <f>Q6*业态参数!$B$40</f>
        <v/>
      </c>
      <c r="R9" s="65">
        <f>R6*业态参数!$B$40</f>
        <v/>
      </c>
      <c r="S9" s="65">
        <f>S6*业态参数!$B$40</f>
        <v/>
      </c>
    </row>
    <row r="10">
      <c r="A10" s="11" t="inlineStr">
        <is>
          <t>一般客流收入</t>
        </is>
      </c>
      <c r="B10" s="64">
        <f>B7*业态参数!$B$41</f>
        <v/>
      </c>
      <c r="C10" s="64">
        <f>C7*业态参数!$B$41</f>
        <v/>
      </c>
      <c r="D10" s="65">
        <f>D7*业态参数!$B$41</f>
        <v/>
      </c>
      <c r="E10" s="65">
        <f>E7*业态参数!$B$41</f>
        <v/>
      </c>
      <c r="F10" s="65">
        <f>F7*业态参数!$B$41</f>
        <v/>
      </c>
      <c r="G10" s="65">
        <f>G7*业态参数!$B$41</f>
        <v/>
      </c>
      <c r="H10" s="65">
        <f>H7*业态参数!$B$41</f>
        <v/>
      </c>
      <c r="I10" s="65">
        <f>I7*业态参数!$B$41</f>
        <v/>
      </c>
      <c r="J10" s="65">
        <f>J7*业态参数!$B$41</f>
        <v/>
      </c>
      <c r="K10" s="65">
        <f>K7*业态参数!$B$41</f>
        <v/>
      </c>
      <c r="L10" s="65">
        <f>L7*业态参数!$B$41</f>
        <v/>
      </c>
      <c r="M10" s="65">
        <f>M7*业态参数!$B$41</f>
        <v/>
      </c>
      <c r="N10" s="65">
        <f>N7*业态参数!$B$41</f>
        <v/>
      </c>
      <c r="O10" s="65">
        <f>O7*业态参数!$B$41</f>
        <v/>
      </c>
      <c r="P10" s="65">
        <f>P7*业态参数!$B$41</f>
        <v/>
      </c>
      <c r="Q10" s="65">
        <f>Q7*业态参数!$B$41</f>
        <v/>
      </c>
      <c r="R10" s="65">
        <f>R7*业态参数!$B$41</f>
        <v/>
      </c>
      <c r="S10" s="65">
        <f>S7*业态参数!$B$41</f>
        <v/>
      </c>
    </row>
    <row r="11">
      <c r="A11" s="7" t="inlineStr">
        <is>
          <t>门票/体验流水</t>
        </is>
      </c>
      <c r="B11" s="64">
        <f>B9+B10</f>
        <v/>
      </c>
      <c r="C11" s="64">
        <f>C9+C10</f>
        <v/>
      </c>
      <c r="D11" s="65">
        <f>D9+D10</f>
        <v/>
      </c>
      <c r="E11" s="65">
        <f>E9+E10</f>
        <v/>
      </c>
      <c r="F11" s="65">
        <f>F9+F10</f>
        <v/>
      </c>
      <c r="G11" s="65">
        <f>G9+G10</f>
        <v/>
      </c>
      <c r="H11" s="65">
        <f>H9+H10</f>
        <v/>
      </c>
      <c r="I11" s="65">
        <f>I9+I10</f>
        <v/>
      </c>
      <c r="J11" s="65">
        <f>J9+J10</f>
        <v/>
      </c>
      <c r="K11" s="65">
        <f>K9+K10</f>
        <v/>
      </c>
      <c r="L11" s="65">
        <f>L9+L10</f>
        <v/>
      </c>
      <c r="M11" s="65">
        <f>M9+M10</f>
        <v/>
      </c>
      <c r="N11" s="65">
        <f>N9+N10</f>
        <v/>
      </c>
      <c r="O11" s="65">
        <f>O9+O10</f>
        <v/>
      </c>
      <c r="P11" s="65">
        <f>P9+P10</f>
        <v/>
      </c>
      <c r="Q11" s="65">
        <f>Q9+Q10</f>
        <v/>
      </c>
      <c r="R11" s="65">
        <f>R9+R10</f>
        <v/>
      </c>
      <c r="S11" s="65">
        <f>S9+S10</f>
        <v/>
      </c>
    </row>
    <row r="12">
      <c r="A12" s="11" t="inlineStr">
        <is>
          <t>二消收入</t>
        </is>
      </c>
      <c r="B12" s="64">
        <f>B8*业态参数!$B$42*业态参数!$B$43</f>
        <v/>
      </c>
      <c r="C12" s="64">
        <f>C8*业态参数!$B$42*业态参数!$B$43</f>
        <v/>
      </c>
      <c r="D12" s="65">
        <f>D8*业态参数!$B$42*业态参数!$B$43</f>
        <v/>
      </c>
      <c r="E12" s="65">
        <f>E8*业态参数!$B$42*业态参数!$B$43</f>
        <v/>
      </c>
      <c r="F12" s="65">
        <f>F8*业态参数!$B$42*业态参数!$B$43</f>
        <v/>
      </c>
      <c r="G12" s="65">
        <f>G8*业态参数!$B$42*业态参数!$B$43</f>
        <v/>
      </c>
      <c r="H12" s="65">
        <f>H8*业态参数!$B$42*业态参数!$B$43</f>
        <v/>
      </c>
      <c r="I12" s="65">
        <f>I8*业态参数!$B$42*业态参数!$B$43</f>
        <v/>
      </c>
      <c r="J12" s="65">
        <f>J8*业态参数!$B$42*业态参数!$B$43</f>
        <v/>
      </c>
      <c r="K12" s="65">
        <f>K8*业态参数!$B$42*业态参数!$B$43</f>
        <v/>
      </c>
      <c r="L12" s="65">
        <f>L8*业态参数!$B$42*业态参数!$B$43</f>
        <v/>
      </c>
      <c r="M12" s="65">
        <f>M8*业态参数!$B$42*业态参数!$B$43</f>
        <v/>
      </c>
      <c r="N12" s="65">
        <f>N8*业态参数!$B$42*业态参数!$B$43</f>
        <v/>
      </c>
      <c r="O12" s="65">
        <f>O8*业态参数!$B$42*业态参数!$B$43</f>
        <v/>
      </c>
      <c r="P12" s="65">
        <f>P8*业态参数!$B$42*业态参数!$B$43</f>
        <v/>
      </c>
      <c r="Q12" s="65">
        <f>Q8*业态参数!$B$42*业态参数!$B$43</f>
        <v/>
      </c>
      <c r="R12" s="65">
        <f>R8*业态参数!$B$42*业态参数!$B$43</f>
        <v/>
      </c>
      <c r="S12" s="65">
        <f>S8*业态参数!$B$42*业态参数!$B$43</f>
        <v/>
      </c>
    </row>
    <row r="13">
      <c r="A13" s="11" t="inlineStr">
        <is>
          <t>万达门票分成10%</t>
        </is>
      </c>
      <c r="B13" s="64">
        <f>B11*业态参数!$B$44</f>
        <v/>
      </c>
      <c r="C13" s="64">
        <f>C11*业态参数!$B$44</f>
        <v/>
      </c>
      <c r="D13" s="65">
        <f>D11*业态参数!$B$44</f>
        <v/>
      </c>
      <c r="E13" s="65">
        <f>E11*业态参数!$B$44</f>
        <v/>
      </c>
      <c r="F13" s="65">
        <f>F11*业态参数!$B$44</f>
        <v/>
      </c>
      <c r="G13" s="65">
        <f>G11*业态参数!$B$44</f>
        <v/>
      </c>
      <c r="H13" s="65">
        <f>H11*业态参数!$B$44</f>
        <v/>
      </c>
      <c r="I13" s="65">
        <f>I11*业态参数!$B$44</f>
        <v/>
      </c>
      <c r="J13" s="65">
        <f>J11*业态参数!$B$44</f>
        <v/>
      </c>
      <c r="K13" s="65">
        <f>K11*业态参数!$B$44</f>
        <v/>
      </c>
      <c r="L13" s="65">
        <f>L11*业态参数!$B$44</f>
        <v/>
      </c>
      <c r="M13" s="65">
        <f>M11*业态参数!$B$44</f>
        <v/>
      </c>
      <c r="N13" s="65">
        <f>N11*业态参数!$B$44</f>
        <v/>
      </c>
      <c r="O13" s="65">
        <f>O11*业态参数!$B$44</f>
        <v/>
      </c>
      <c r="P13" s="65">
        <f>P11*业态参数!$B$44</f>
        <v/>
      </c>
      <c r="Q13" s="65">
        <f>Q11*业态参数!$B$44</f>
        <v/>
      </c>
      <c r="R13" s="65">
        <f>R11*业态参数!$B$44</f>
        <v/>
      </c>
      <c r="S13" s="65">
        <f>S11*业态参数!$B$44</f>
        <v/>
      </c>
    </row>
    <row r="14">
      <c r="A14" s="11" t="inlineStr">
        <is>
          <t>线上渠道佣金</t>
        </is>
      </c>
      <c r="B14" s="64">
        <f>B10*业态参数!$B$45*业态参数!$B$46</f>
        <v/>
      </c>
      <c r="C14" s="64">
        <f>C10*业态参数!$B$45*业态参数!$B$46</f>
        <v/>
      </c>
      <c r="D14" s="65">
        <f>D10*业态参数!$B$45*业态参数!$B$46</f>
        <v/>
      </c>
      <c r="E14" s="65">
        <f>E10*业态参数!$B$45*业态参数!$B$46</f>
        <v/>
      </c>
      <c r="F14" s="65">
        <f>F10*业态参数!$B$45*业态参数!$B$46</f>
        <v/>
      </c>
      <c r="G14" s="65">
        <f>G10*业态参数!$B$45*业态参数!$B$46</f>
        <v/>
      </c>
      <c r="H14" s="65">
        <f>H10*业态参数!$B$45*业态参数!$B$46</f>
        <v/>
      </c>
      <c r="I14" s="65">
        <f>I10*业态参数!$B$45*业态参数!$B$46</f>
        <v/>
      </c>
      <c r="J14" s="65">
        <f>J10*业态参数!$B$45*业态参数!$B$46</f>
        <v/>
      </c>
      <c r="K14" s="65">
        <f>K10*业态参数!$B$45*业态参数!$B$46</f>
        <v/>
      </c>
      <c r="L14" s="65">
        <f>L10*业态参数!$B$45*业态参数!$B$46</f>
        <v/>
      </c>
      <c r="M14" s="65">
        <f>M10*业态参数!$B$45*业态参数!$B$46</f>
        <v/>
      </c>
      <c r="N14" s="65">
        <f>N10*业态参数!$B$45*业态参数!$B$46</f>
        <v/>
      </c>
      <c r="O14" s="65">
        <f>O10*业态参数!$B$45*业态参数!$B$46</f>
        <v/>
      </c>
      <c r="P14" s="65">
        <f>P10*业态参数!$B$45*业态参数!$B$46</f>
        <v/>
      </c>
      <c r="Q14" s="65">
        <f>Q10*业态参数!$B$45*业态参数!$B$46</f>
        <v/>
      </c>
      <c r="R14" s="65">
        <f>R10*业态参数!$B$45*业态参数!$B$46</f>
        <v/>
      </c>
      <c r="S14" s="65">
        <f>S10*业态参数!$B$45*业态参数!$B$46</f>
        <v/>
      </c>
    </row>
    <row r="15">
      <c r="A15" s="11" t="inlineStr">
        <is>
          <t>销售提成</t>
        </is>
      </c>
      <c r="B15" s="64">
        <f>B16*业态参数!$B$47</f>
        <v/>
      </c>
      <c r="C15" s="64">
        <f>C16*业态参数!$B$47</f>
        <v/>
      </c>
      <c r="D15" s="65">
        <f>D16*业态参数!$B$47</f>
        <v/>
      </c>
      <c r="E15" s="65">
        <f>E16*业态参数!$B$47</f>
        <v/>
      </c>
      <c r="F15" s="65">
        <f>F16*业态参数!$B$47</f>
        <v/>
      </c>
      <c r="G15" s="65">
        <f>G16*业态参数!$B$47</f>
        <v/>
      </c>
      <c r="H15" s="65">
        <f>H16*业态参数!$B$47</f>
        <v/>
      </c>
      <c r="I15" s="65">
        <f>I16*业态参数!$B$47</f>
        <v/>
      </c>
      <c r="J15" s="65">
        <f>J16*业态参数!$B$47</f>
        <v/>
      </c>
      <c r="K15" s="65">
        <f>K16*业态参数!$B$47</f>
        <v/>
      </c>
      <c r="L15" s="65">
        <f>L16*业态参数!$B$47</f>
        <v/>
      </c>
      <c r="M15" s="65">
        <f>M16*业态参数!$B$47</f>
        <v/>
      </c>
      <c r="N15" s="65">
        <f>N16*业态参数!$B$47</f>
        <v/>
      </c>
      <c r="O15" s="65">
        <f>O16*业态参数!$B$47</f>
        <v/>
      </c>
      <c r="P15" s="65">
        <f>P16*业态参数!$B$47</f>
        <v/>
      </c>
      <c r="Q15" s="65">
        <f>Q16*业态参数!$B$47</f>
        <v/>
      </c>
      <c r="R15" s="65">
        <f>R16*业态参数!$B$47</f>
        <v/>
      </c>
      <c r="S15" s="65">
        <f>S16*业态参数!$B$47</f>
        <v/>
      </c>
    </row>
    <row r="16">
      <c r="A16" s="7" t="inlineStr">
        <is>
          <t>营业收入合计</t>
        </is>
      </c>
      <c r="B16" s="73">
        <f>B11+B12</f>
        <v/>
      </c>
      <c r="C16" s="73">
        <f>C11+C12</f>
        <v/>
      </c>
      <c r="D16" s="74">
        <f>D11+D12</f>
        <v/>
      </c>
      <c r="E16" s="74">
        <f>E11+E12</f>
        <v/>
      </c>
      <c r="F16" s="74">
        <f>F11+F12</f>
        <v/>
      </c>
      <c r="G16" s="74">
        <f>G11+G12</f>
        <v/>
      </c>
      <c r="H16" s="74">
        <f>H11+H12</f>
        <v/>
      </c>
      <c r="I16" s="74">
        <f>I11+I12</f>
        <v/>
      </c>
      <c r="J16" s="74">
        <f>J11+J12</f>
        <v/>
      </c>
      <c r="K16" s="74">
        <f>K11+K12</f>
        <v/>
      </c>
      <c r="L16" s="74">
        <f>L11+L12</f>
        <v/>
      </c>
      <c r="M16" s="74">
        <f>M11+M12</f>
        <v/>
      </c>
      <c r="N16" s="74">
        <f>N11+N12</f>
        <v/>
      </c>
      <c r="O16" s="74">
        <f>O11+O12</f>
        <v/>
      </c>
      <c r="P16" s="74">
        <f>P11+P12</f>
        <v/>
      </c>
      <c r="Q16" s="74">
        <f>Q11+Q12</f>
        <v/>
      </c>
      <c r="R16" s="74">
        <f>R11+R12</f>
        <v/>
      </c>
      <c r="S16" s="74">
        <f>S11+S12</f>
        <v/>
      </c>
    </row>
    <row r="17">
      <c r="A17" s="11" t="inlineStr">
        <is>
          <t>游乐维护</t>
        </is>
      </c>
      <c r="B17" s="64">
        <f>B11*业态参数!$B$48</f>
        <v/>
      </c>
      <c r="C17" s="64">
        <f>C11*业态参数!$B$48</f>
        <v/>
      </c>
      <c r="D17" s="65">
        <f>D11*业态参数!$B$48</f>
        <v/>
      </c>
      <c r="E17" s="65">
        <f>E11*业态参数!$B$48</f>
        <v/>
      </c>
      <c r="F17" s="65">
        <f>F11*业态参数!$B$48</f>
        <v/>
      </c>
      <c r="G17" s="65">
        <f>G11*业态参数!$B$48</f>
        <v/>
      </c>
      <c r="H17" s="65">
        <f>H11*业态参数!$B$48</f>
        <v/>
      </c>
      <c r="I17" s="65">
        <f>I11*业态参数!$B$48</f>
        <v/>
      </c>
      <c r="J17" s="65">
        <f>J11*业态参数!$B$48</f>
        <v/>
      </c>
      <c r="K17" s="65">
        <f>K11*业态参数!$B$48</f>
        <v/>
      </c>
      <c r="L17" s="65">
        <f>L11*业态参数!$B$48</f>
        <v/>
      </c>
      <c r="M17" s="65">
        <f>M11*业态参数!$B$48</f>
        <v/>
      </c>
      <c r="N17" s="65">
        <f>N11*业态参数!$B$48</f>
        <v/>
      </c>
      <c r="O17" s="65">
        <f>O11*业态参数!$B$48</f>
        <v/>
      </c>
      <c r="P17" s="65">
        <f>P11*业态参数!$B$48</f>
        <v/>
      </c>
      <c r="Q17" s="65">
        <f>Q11*业态参数!$B$48</f>
        <v/>
      </c>
      <c r="R17" s="65">
        <f>R11*业态参数!$B$48</f>
        <v/>
      </c>
      <c r="S17" s="65">
        <f>S11*业态参数!$B$48</f>
        <v/>
      </c>
    </row>
    <row r="18">
      <c r="A18" s="11" t="inlineStr">
        <is>
          <t>二消商品成本</t>
        </is>
      </c>
      <c r="B18" s="64">
        <f>B12*业态参数!$B$49</f>
        <v/>
      </c>
      <c r="C18" s="64">
        <f>C12*业态参数!$B$49</f>
        <v/>
      </c>
      <c r="D18" s="65">
        <f>D12*业态参数!$B$49</f>
        <v/>
      </c>
      <c r="E18" s="65">
        <f>E12*业态参数!$B$49</f>
        <v/>
      </c>
      <c r="F18" s="65">
        <f>F12*业态参数!$B$49</f>
        <v/>
      </c>
      <c r="G18" s="65">
        <f>G12*业态参数!$B$49</f>
        <v/>
      </c>
      <c r="H18" s="65">
        <f>H12*业态参数!$B$49</f>
        <v/>
      </c>
      <c r="I18" s="65">
        <f>I12*业态参数!$B$49</f>
        <v/>
      </c>
      <c r="J18" s="65">
        <f>J12*业态参数!$B$49</f>
        <v/>
      </c>
      <c r="K18" s="65">
        <f>K12*业态参数!$B$49</f>
        <v/>
      </c>
      <c r="L18" s="65">
        <f>L12*业态参数!$B$49</f>
        <v/>
      </c>
      <c r="M18" s="65">
        <f>M12*业态参数!$B$49</f>
        <v/>
      </c>
      <c r="N18" s="65">
        <f>N12*业态参数!$B$49</f>
        <v/>
      </c>
      <c r="O18" s="65">
        <f>O12*业态参数!$B$49</f>
        <v/>
      </c>
      <c r="P18" s="65">
        <f>P12*业态参数!$B$49</f>
        <v/>
      </c>
      <c r="Q18" s="65">
        <f>Q12*业态参数!$B$49</f>
        <v/>
      </c>
      <c r="R18" s="65">
        <f>R12*业态参数!$B$49</f>
        <v/>
      </c>
      <c r="S18" s="65">
        <f>S12*业态参数!$B$49</f>
        <v/>
      </c>
    </row>
    <row r="19">
      <c r="A19" s="11" t="inlineStr">
        <is>
          <t>日常营销</t>
        </is>
      </c>
      <c r="B19" s="64">
        <f>B11*业态参数!$B$50</f>
        <v/>
      </c>
      <c r="C19" s="64">
        <f>C11*业态参数!$B$50</f>
        <v/>
      </c>
      <c r="D19" s="65">
        <f>D11*业态参数!$B$50</f>
        <v/>
      </c>
      <c r="E19" s="65">
        <f>E11*业态参数!$B$50</f>
        <v/>
      </c>
      <c r="F19" s="65">
        <f>F11*业态参数!$B$50</f>
        <v/>
      </c>
      <c r="G19" s="65">
        <f>G11*业态参数!$B$50</f>
        <v/>
      </c>
      <c r="H19" s="65">
        <f>H11*业态参数!$B$50</f>
        <v/>
      </c>
      <c r="I19" s="65">
        <f>I11*业态参数!$B$50</f>
        <v/>
      </c>
      <c r="J19" s="65">
        <f>J11*业态参数!$B$50</f>
        <v/>
      </c>
      <c r="K19" s="65">
        <f>K11*业态参数!$B$50</f>
        <v/>
      </c>
      <c r="L19" s="65">
        <f>L11*业态参数!$B$50</f>
        <v/>
      </c>
      <c r="M19" s="65">
        <f>M11*业态参数!$B$50</f>
        <v/>
      </c>
      <c r="N19" s="65">
        <f>N11*业态参数!$B$50</f>
        <v/>
      </c>
      <c r="O19" s="65">
        <f>O11*业态参数!$B$50</f>
        <v/>
      </c>
      <c r="P19" s="65">
        <f>P11*业态参数!$B$50</f>
        <v/>
      </c>
      <c r="Q19" s="65">
        <f>Q11*业态参数!$B$50</f>
        <v/>
      </c>
      <c r="R19" s="65">
        <f>R11*业态参数!$B$50</f>
        <v/>
      </c>
      <c r="S19" s="65">
        <f>S11*业态参数!$B$50</f>
        <v/>
      </c>
    </row>
    <row r="20">
      <c r="A20" s="11" t="inlineStr">
        <is>
          <t>开业/年度专项</t>
        </is>
      </c>
      <c r="B20" s="64">
        <f>IF(B5&lt;=0,0,IF(B5&gt;=70,8,12))</f>
        <v/>
      </c>
      <c r="C20" s="64">
        <f>IF(C5&lt;=0,0,IF(C5&gt;=70,8,12))</f>
        <v/>
      </c>
      <c r="D20" s="65">
        <f>IF(D5&lt;=0,0,IF(D5&gt;=70,8,12))</f>
        <v/>
      </c>
      <c r="E20" s="65">
        <f>IF(E5&lt;=0,0,IF(E5&gt;=70,8,12))</f>
        <v/>
      </c>
      <c r="F20" s="65">
        <f>IF(F5&lt;=0,0,IF(F5&gt;=70,8,12))</f>
        <v/>
      </c>
      <c r="G20" s="65">
        <f>IF(G5&lt;=0,0,IF(G5&gt;=70,8,12))</f>
        <v/>
      </c>
      <c r="H20" s="65">
        <f>IF(H5&lt;=0,0,IF(H5&gt;=70,8,12))</f>
        <v/>
      </c>
      <c r="I20" s="65">
        <f>IF(I5&lt;=0,0,IF(I5&gt;=70,8,12))</f>
        <v/>
      </c>
      <c r="J20" s="65">
        <f>IF(J5&lt;=0,0,IF(J5&gt;=70,8,12))</f>
        <v/>
      </c>
      <c r="K20" s="65">
        <f>IF(K5&lt;=0,0,IF(K5&gt;=70,8,12))</f>
        <v/>
      </c>
      <c r="L20" s="65">
        <f>IF(L5&lt;=0,0,IF(L5&gt;=70,8,12))</f>
        <v/>
      </c>
      <c r="M20" s="65">
        <f>IF(M5&lt;=0,0,IF(M5&gt;=70,8,12))</f>
        <v/>
      </c>
      <c r="N20" s="65">
        <f>IF(N5&lt;=0,0,IF(N5&gt;=70,8,12))</f>
        <v/>
      </c>
      <c r="O20" s="65">
        <f>IF(O5&lt;=0,0,IF(O5&gt;=70,8,12))</f>
        <v/>
      </c>
      <c r="P20" s="65">
        <f>IF(P5&lt;=0,0,IF(P5&gt;=70,8,12))</f>
        <v/>
      </c>
      <c r="Q20" s="65">
        <f>IF(Q5&lt;=0,0,IF(Q5&gt;=70,8,12))</f>
        <v/>
      </c>
      <c r="R20" s="65">
        <f>IF(R5&lt;=0,0,IF(R5&gt;=70,8,12))</f>
        <v/>
      </c>
      <c r="S20" s="65">
        <f>IF(S5&lt;=0,0,IF(S5&gt;=70,8,12))</f>
        <v/>
      </c>
    </row>
    <row r="21">
      <c r="A21" s="11" t="inlineStr">
        <is>
          <t>人工成本（26人）</t>
        </is>
      </c>
      <c r="B21" s="64">
        <f>IF(B5&lt;=0,0,人力编制!B35)</f>
        <v/>
      </c>
      <c r="C21" s="64">
        <f>IF(C5&lt;=0,0,人力编制!B35)</f>
        <v/>
      </c>
      <c r="D21" s="65">
        <f>IF(D5&lt;=0,0,人力编制!B35)</f>
        <v/>
      </c>
      <c r="E21" s="65">
        <f>IF(E5&lt;=0,0,人力编制!B35)</f>
        <v/>
      </c>
      <c r="F21" s="65">
        <f>IF(F5&lt;=0,0,人力编制!B35)</f>
        <v/>
      </c>
      <c r="G21" s="65">
        <f>IF(G5&lt;=0,0,人力编制!B35)</f>
        <v/>
      </c>
      <c r="H21" s="65">
        <f>IF(H5&lt;=0,0,人力编制!B35)</f>
        <v/>
      </c>
      <c r="I21" s="65">
        <f>IF(I5&lt;=0,0,人力编制!B35)</f>
        <v/>
      </c>
      <c r="J21" s="65">
        <f>IF(J5&lt;=0,0,人力编制!B35)</f>
        <v/>
      </c>
      <c r="K21" s="65">
        <f>IF(K5&lt;=0,0,人力编制!B35)</f>
        <v/>
      </c>
      <c r="L21" s="65">
        <f>IF(L5&lt;=0,0,人力编制!B35)</f>
        <v/>
      </c>
      <c r="M21" s="65">
        <f>IF(M5&lt;=0,0,人力编制!B35)</f>
        <v/>
      </c>
      <c r="N21" s="65">
        <f>IF(N5&lt;=0,0,人力编制!B35)</f>
        <v/>
      </c>
      <c r="O21" s="65">
        <f>IF(O5&lt;=0,0,人力编制!B35)</f>
        <v/>
      </c>
      <c r="P21" s="65">
        <f>IF(P5&lt;=0,0,人力编制!B35)</f>
        <v/>
      </c>
      <c r="Q21" s="65">
        <f>IF(Q5&lt;=0,0,人力编制!B35)</f>
        <v/>
      </c>
      <c r="R21" s="65">
        <f>IF(R5&lt;=0,0,人力编制!B35)</f>
        <v/>
      </c>
      <c r="S21" s="65">
        <f>IF(S5&lt;=0,0,人力编制!B35)</f>
        <v/>
      </c>
    </row>
    <row r="22">
      <c r="A22" s="11" t="inlineStr">
        <is>
          <t>水电能耗</t>
        </is>
      </c>
      <c r="B22" s="64">
        <f>B8*业态参数!$B$51</f>
        <v/>
      </c>
      <c r="C22" s="64">
        <f>C8*业态参数!$B$51</f>
        <v/>
      </c>
      <c r="D22" s="65">
        <f>D8*业态参数!$B$51</f>
        <v/>
      </c>
      <c r="E22" s="65">
        <f>E8*业态参数!$B$51</f>
        <v/>
      </c>
      <c r="F22" s="65">
        <f>F8*业态参数!$B$51</f>
        <v/>
      </c>
      <c r="G22" s="65">
        <f>G8*业态参数!$B$51</f>
        <v/>
      </c>
      <c r="H22" s="65">
        <f>H8*业态参数!$B$51</f>
        <v/>
      </c>
      <c r="I22" s="65">
        <f>I8*业态参数!$B$51</f>
        <v/>
      </c>
      <c r="J22" s="65">
        <f>J8*业态参数!$B$51</f>
        <v/>
      </c>
      <c r="K22" s="65">
        <f>K8*业态参数!$B$51</f>
        <v/>
      </c>
      <c r="L22" s="65">
        <f>L8*业态参数!$B$51</f>
        <v/>
      </c>
      <c r="M22" s="65">
        <f>M8*业态参数!$B$51</f>
        <v/>
      </c>
      <c r="N22" s="65">
        <f>N8*业态参数!$B$51</f>
        <v/>
      </c>
      <c r="O22" s="65">
        <f>O8*业态参数!$B$51</f>
        <v/>
      </c>
      <c r="P22" s="65">
        <f>P8*业态参数!$B$51</f>
        <v/>
      </c>
      <c r="Q22" s="65">
        <f>Q8*业态参数!$B$51</f>
        <v/>
      </c>
      <c r="R22" s="65">
        <f>R8*业态参数!$B$51</f>
        <v/>
      </c>
      <c r="S22" s="65">
        <f>S8*业态参数!$B$51</f>
        <v/>
      </c>
    </row>
    <row r="23">
      <c r="A23" s="11" t="inlineStr">
        <is>
          <t>保安保洁（项目内）</t>
        </is>
      </c>
      <c r="B23" s="64">
        <f>IF(B5&lt;=0,0,业态参数!$B$52)</f>
        <v/>
      </c>
      <c r="C23" s="64">
        <f>IF(C5&lt;=0,0,业态参数!$B$52)</f>
        <v/>
      </c>
      <c r="D23" s="65">
        <f>IF(D5&lt;=0,0,业态参数!$B$52)</f>
        <v/>
      </c>
      <c r="E23" s="65">
        <f>IF(E5&lt;=0,0,业态参数!$B$52)</f>
        <v/>
      </c>
      <c r="F23" s="65">
        <f>IF(F5&lt;=0,0,业态参数!$B$52)</f>
        <v/>
      </c>
      <c r="G23" s="65">
        <f>IF(G5&lt;=0,0,业态参数!$B$52)</f>
        <v/>
      </c>
      <c r="H23" s="65">
        <f>IF(H5&lt;=0,0,业态参数!$B$52)</f>
        <v/>
      </c>
      <c r="I23" s="65">
        <f>IF(I5&lt;=0,0,业态参数!$B$52)</f>
        <v/>
      </c>
      <c r="J23" s="65">
        <f>IF(J5&lt;=0,0,业态参数!$B$52)</f>
        <v/>
      </c>
      <c r="K23" s="65">
        <f>IF(K5&lt;=0,0,业态参数!$B$52)</f>
        <v/>
      </c>
      <c r="L23" s="65">
        <f>IF(L5&lt;=0,0,业态参数!$B$52)</f>
        <v/>
      </c>
      <c r="M23" s="65">
        <f>IF(M5&lt;=0,0,业态参数!$B$52)</f>
        <v/>
      </c>
      <c r="N23" s="65">
        <f>IF(N5&lt;=0,0,业态参数!$B$52)</f>
        <v/>
      </c>
      <c r="O23" s="65">
        <f>IF(O5&lt;=0,0,业态参数!$B$52)</f>
        <v/>
      </c>
      <c r="P23" s="65">
        <f>IF(P5&lt;=0,0,业态参数!$B$52)</f>
        <v/>
      </c>
      <c r="Q23" s="65">
        <f>IF(Q5&lt;=0,0,业态参数!$B$52)</f>
        <v/>
      </c>
      <c r="R23" s="65">
        <f>IF(R5&lt;=0,0,业态参数!$B$52)</f>
        <v/>
      </c>
      <c r="S23" s="65">
        <f>IF(S5&lt;=0,0,业态参数!$B$52)</f>
        <v/>
      </c>
    </row>
    <row r="24">
      <c r="A24" s="7" t="inlineStr">
        <is>
          <t>经营成本合计</t>
        </is>
      </c>
      <c r="B24" s="73">
        <f>SUM(B13:B15,B17:B23)</f>
        <v/>
      </c>
      <c r="C24" s="73">
        <f>SUM(C13:C15,C17:C23)</f>
        <v/>
      </c>
      <c r="D24" s="74">
        <f>SUM(D13:D15,D17:D23)</f>
        <v/>
      </c>
      <c r="E24" s="74">
        <f>SUM(E13:E15,E17:E23)</f>
        <v/>
      </c>
      <c r="F24" s="74">
        <f>SUM(F13:F15,F17:F23)</f>
        <v/>
      </c>
      <c r="G24" s="74">
        <f>SUM(G13:G15,G17:G23)</f>
        <v/>
      </c>
      <c r="H24" s="74">
        <f>SUM(H13:H15,H17:H23)</f>
        <v/>
      </c>
      <c r="I24" s="74">
        <f>SUM(I13:I15,I17:I23)</f>
        <v/>
      </c>
      <c r="J24" s="74">
        <f>SUM(J13:J15,J17:J23)</f>
        <v/>
      </c>
      <c r="K24" s="74">
        <f>SUM(K13:K15,K17:K23)</f>
        <v/>
      </c>
      <c r="L24" s="74">
        <f>SUM(L13:L15,L17:L23)</f>
        <v/>
      </c>
      <c r="M24" s="74">
        <f>SUM(M13:M15,M17:M23)</f>
        <v/>
      </c>
      <c r="N24" s="74">
        <f>SUM(N13:N15,N17:N23)</f>
        <v/>
      </c>
      <c r="O24" s="74">
        <f>SUM(O13:O15,O17:O23)</f>
        <v/>
      </c>
      <c r="P24" s="74">
        <f>SUM(P13:P15,P17:P23)</f>
        <v/>
      </c>
      <c r="Q24" s="74">
        <f>SUM(Q13:Q15,Q17:Q23)</f>
        <v/>
      </c>
      <c r="R24" s="74">
        <f>SUM(R13:R15,R17:R23)</f>
        <v/>
      </c>
      <c r="S24" s="74">
        <f>SUM(S13:S15,S17:S23)</f>
        <v/>
      </c>
    </row>
    <row r="25">
      <c r="A25" s="7" t="inlineStr">
        <is>
          <t>经营贡献</t>
        </is>
      </c>
      <c r="B25" s="73">
        <f>B16-B24</f>
        <v/>
      </c>
      <c r="C25" s="73">
        <f>C16-C24</f>
        <v/>
      </c>
      <c r="D25" s="74">
        <f>D16-D24</f>
        <v/>
      </c>
      <c r="E25" s="74">
        <f>E16-E24</f>
        <v/>
      </c>
      <c r="F25" s="74">
        <f>F16-F24</f>
        <v/>
      </c>
      <c r="G25" s="74">
        <f>G16-G24</f>
        <v/>
      </c>
      <c r="H25" s="74">
        <f>H16-H24</f>
        <v/>
      </c>
      <c r="I25" s="74">
        <f>I16-I24</f>
        <v/>
      </c>
      <c r="J25" s="74">
        <f>J16-J24</f>
        <v/>
      </c>
      <c r="K25" s="74">
        <f>K16-K24</f>
        <v/>
      </c>
      <c r="L25" s="74">
        <f>L16-L24</f>
        <v/>
      </c>
      <c r="M25" s="74">
        <f>M16-M24</f>
        <v/>
      </c>
      <c r="N25" s="74">
        <f>N16-N24</f>
        <v/>
      </c>
      <c r="O25" s="74">
        <f>O16-O24</f>
        <v/>
      </c>
      <c r="P25" s="74">
        <f>P16-P24</f>
        <v/>
      </c>
      <c r="Q25" s="74">
        <f>Q16-Q24</f>
        <v/>
      </c>
      <c r="R25" s="74">
        <f>R16-R24</f>
        <v/>
      </c>
      <c r="S25" s="74">
        <f>S16-S24</f>
        <v/>
      </c>
    </row>
    <row r="27">
      <c r="A27" s="62" t="inlineStr">
        <is>
          <t>万达10%只计提门票/体验流水；品牌使用费100万元已包含在表5儿童乐园投资中，不再单独现金列支。设备折旧在全园折旧中统一计提，本表不再重复。</t>
        </is>
      </c>
    </row>
  </sheetData>
  <mergeCells count="3">
    <mergeCell ref="A1:T1"/>
    <mergeCell ref="A27:S27"/>
    <mergeCell ref="A2:T2"/>
  </mergeCells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V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2" customWidth="1" min="22" max="22"/>
  </cols>
  <sheetData>
    <row r="1" ht="28" customHeight="1">
      <c r="A1" s="1" t="inlineStr">
        <is>
          <t>项目成本与经营贡献｜按经营性质区分构成（万元）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3">
      <c r="A3" s="57" t="inlineStr">
        <is>
          <t>联营/出租：成本=收入×（直接+渠道+运营分摊），不含对方人工。自营：变动成本同左，编制工资在下方「自营及联营协助人力」一次计入。宝贝王成本取专项表。</t>
        </is>
      </c>
    </row>
    <row r="4">
      <c r="A4" s="4" t="inlineStr">
        <is>
          <t>序号</t>
        </is>
      </c>
      <c r="B4" s="4" t="inlineStr">
        <is>
          <t>经营项目</t>
        </is>
      </c>
      <c r="C4" s="4" t="inlineStr">
        <is>
          <t>经营性质</t>
        </is>
      </c>
      <c r="D4" s="4" t="inlineStr">
        <is>
          <t>第1年成本</t>
        </is>
      </c>
      <c r="E4" s="4" t="inlineStr">
        <is>
          <t>第2年成本</t>
        </is>
      </c>
      <c r="F4" s="4" t="inlineStr">
        <is>
          <t>第3年成本</t>
        </is>
      </c>
      <c r="G4" s="4" t="inlineStr">
        <is>
          <t>第4年成本</t>
        </is>
      </c>
      <c r="H4" s="4" t="inlineStr">
        <is>
          <t>第5年成本</t>
        </is>
      </c>
      <c r="I4" s="4" t="inlineStr">
        <is>
          <t>第6年成本</t>
        </is>
      </c>
      <c r="J4" s="4" t="inlineStr">
        <is>
          <t>第7年成本</t>
        </is>
      </c>
      <c r="K4" s="4" t="inlineStr">
        <is>
          <t>第8年成本</t>
        </is>
      </c>
      <c r="L4" s="4" t="inlineStr">
        <is>
          <t>第9年成本</t>
        </is>
      </c>
      <c r="M4" s="4" t="inlineStr">
        <is>
          <t>第10年成本</t>
        </is>
      </c>
      <c r="N4" s="4" t="inlineStr">
        <is>
          <t>第11年成本</t>
        </is>
      </c>
      <c r="O4" s="4" t="inlineStr">
        <is>
          <t>第12年成本</t>
        </is>
      </c>
      <c r="P4" s="4" t="inlineStr">
        <is>
          <t>第13年成本</t>
        </is>
      </c>
      <c r="Q4" s="4" t="inlineStr">
        <is>
          <t>第14年成本</t>
        </is>
      </c>
      <c r="R4" s="4" t="inlineStr">
        <is>
          <t>第15年成本</t>
        </is>
      </c>
      <c r="S4" s="4" t="inlineStr">
        <is>
          <t>第16年成本</t>
        </is>
      </c>
      <c r="T4" s="4" t="inlineStr">
        <is>
          <t>第17年成本</t>
        </is>
      </c>
      <c r="U4" s="4" t="inlineStr">
        <is>
          <t>第18年成本</t>
        </is>
      </c>
      <c r="V4" s="4" t="inlineStr">
        <is>
          <t>达产贡献率</t>
        </is>
      </c>
    </row>
    <row r="5">
      <c r="A5" s="16" t="n">
        <v>1</v>
      </c>
      <c r="B5" s="8" t="inlineStr">
        <is>
          <t>玉皇山大马戏</t>
        </is>
      </c>
      <c r="C5" s="58" t="inlineStr">
        <is>
          <t>联营</t>
        </is>
      </c>
      <c r="D5" s="64">
        <f>收入测算!D5*(业态参数!$Q$5+业态参数!$R$5+业态参数!$S$5)</f>
        <v/>
      </c>
      <c r="E5" s="64">
        <f>收入测算!E5*(业态参数!$Q$5+业态参数!$R$5+业态参数!$S$5)</f>
        <v/>
      </c>
      <c r="F5" s="65">
        <f>收入测算!F5*(业态参数!$Q$5+业态参数!$R$5+业态参数!$S$5)</f>
        <v/>
      </c>
      <c r="G5" s="65">
        <f>收入测算!G5*(业态参数!$Q$5+业态参数!$R$5+业态参数!$S$5)</f>
        <v/>
      </c>
      <c r="H5" s="65">
        <f>收入测算!H5*(业态参数!$Q$5+业态参数!$R$5+业态参数!$S$5)</f>
        <v/>
      </c>
      <c r="I5" s="65">
        <f>收入测算!I5*(业态参数!$Q$5+业态参数!$R$5+业态参数!$S$5)</f>
        <v/>
      </c>
      <c r="J5" s="65">
        <f>收入测算!J5*(业态参数!$Q$5+业态参数!$R$5+业态参数!$S$5)</f>
        <v/>
      </c>
      <c r="K5" s="65">
        <f>收入测算!K5*(业态参数!$Q$5+业态参数!$R$5+业态参数!$S$5)</f>
        <v/>
      </c>
      <c r="L5" s="65">
        <f>收入测算!L5*(业态参数!$Q$5+业态参数!$R$5+业态参数!$S$5)</f>
        <v/>
      </c>
      <c r="M5" s="65">
        <f>收入测算!M5*(业态参数!$Q$5+业态参数!$R$5+业态参数!$S$5)</f>
        <v/>
      </c>
      <c r="N5" s="65">
        <f>收入测算!N5*(业态参数!$Q$5+业态参数!$R$5+业态参数!$S$5)</f>
        <v/>
      </c>
      <c r="O5" s="65">
        <f>收入测算!O5*(业态参数!$Q$5+业态参数!$R$5+业态参数!$S$5)</f>
        <v/>
      </c>
      <c r="P5" s="65">
        <f>收入测算!P5*(业态参数!$Q$5+业态参数!$R$5+业态参数!$S$5)</f>
        <v/>
      </c>
      <c r="Q5" s="65">
        <f>收入测算!Q5*(业态参数!$Q$5+业态参数!$R$5+业态参数!$S$5)</f>
        <v/>
      </c>
      <c r="R5" s="65">
        <f>收入测算!R5*(业态参数!$Q$5+业态参数!$R$5+业态参数!$S$5)</f>
        <v/>
      </c>
      <c r="S5" s="65">
        <f>收入测算!S5*(业态参数!$Q$5+业态参数!$R$5+业态参数!$S$5)</f>
        <v/>
      </c>
      <c r="T5" s="65">
        <f>收入测算!T5*(业态参数!$Q$5+业态参数!$R$5+业态参数!$S$5)</f>
        <v/>
      </c>
      <c r="U5" s="65">
        <f>收入测算!U5*(业态参数!$Q$5+业态参数!$R$5+业态参数!$S$5)</f>
        <v/>
      </c>
      <c r="V5" s="19">
        <f>IF(收入测算!F5=0,0,(收入测算!F5-F5)/收入测算!F5)</f>
        <v/>
      </c>
    </row>
    <row r="6">
      <c r="A6" s="16" t="n">
        <v>2</v>
      </c>
      <c r="B6" s="8" t="inlineStr">
        <is>
          <t>超级宝贝王</t>
        </is>
      </c>
      <c r="C6" s="59" t="inlineStr">
        <is>
          <t>品牌加盟</t>
        </is>
      </c>
      <c r="D6" s="64">
        <f>宝贝王明细!B24</f>
        <v/>
      </c>
      <c r="E6" s="64">
        <f>宝贝王明细!C24</f>
        <v/>
      </c>
      <c r="F6" s="65">
        <f>宝贝王明细!D24</f>
        <v/>
      </c>
      <c r="G6" s="65">
        <f>宝贝王明细!E24</f>
        <v/>
      </c>
      <c r="H6" s="65">
        <f>宝贝王明细!F24</f>
        <v/>
      </c>
      <c r="I6" s="65">
        <f>宝贝王明细!G24</f>
        <v/>
      </c>
      <c r="J6" s="65">
        <f>宝贝王明细!H24</f>
        <v/>
      </c>
      <c r="K6" s="65">
        <f>宝贝王明细!I24</f>
        <v/>
      </c>
      <c r="L6" s="65">
        <f>宝贝王明细!J24</f>
        <v/>
      </c>
      <c r="M6" s="65">
        <f>宝贝王明细!K24</f>
        <v/>
      </c>
      <c r="N6" s="65">
        <f>宝贝王明细!L24</f>
        <v/>
      </c>
      <c r="O6" s="65">
        <f>宝贝王明细!M24</f>
        <v/>
      </c>
      <c r="P6" s="65">
        <f>宝贝王明细!N24</f>
        <v/>
      </c>
      <c r="Q6" s="65">
        <f>宝贝王明细!O24</f>
        <v/>
      </c>
      <c r="R6" s="65">
        <f>宝贝王明细!P24</f>
        <v/>
      </c>
      <c r="S6" s="65">
        <f>宝贝王明细!Q24</f>
        <v/>
      </c>
      <c r="T6" s="65">
        <f>宝贝王明细!R24</f>
        <v/>
      </c>
      <c r="U6" s="65">
        <f>宝贝王明细!S24</f>
        <v/>
      </c>
      <c r="V6" s="19">
        <f>IF(收入测算!F6=0,0,(收入测算!F6-F6)/收入测算!F6)</f>
        <v/>
      </c>
    </row>
    <row r="7">
      <c r="A7" s="16" t="n">
        <v>3</v>
      </c>
      <c r="B7" s="8" t="inlineStr">
        <is>
          <t>土特产伴手礼</t>
        </is>
      </c>
      <c r="C7" s="60" t="inlineStr">
        <is>
          <t>自营</t>
        </is>
      </c>
      <c r="D7" s="64">
        <f>收入测算!D7*(业态参数!$Q$7+业态参数!$R$7+业态参数!$S$7)</f>
        <v/>
      </c>
      <c r="E7" s="64">
        <f>收入测算!E7*(业态参数!$Q$7+业态参数!$R$7+业态参数!$S$7)</f>
        <v/>
      </c>
      <c r="F7" s="65">
        <f>收入测算!F7*(业态参数!$Q$7+业态参数!$R$7+业态参数!$S$7)</f>
        <v/>
      </c>
      <c r="G7" s="65">
        <f>收入测算!G7*(业态参数!$Q$7+业态参数!$R$7+业态参数!$S$7)</f>
        <v/>
      </c>
      <c r="H7" s="65">
        <f>收入测算!H7*(业态参数!$Q$7+业态参数!$R$7+业态参数!$S$7)</f>
        <v/>
      </c>
      <c r="I7" s="65">
        <f>收入测算!I7*(业态参数!$Q$7+业态参数!$R$7+业态参数!$S$7)</f>
        <v/>
      </c>
      <c r="J7" s="65">
        <f>收入测算!J7*(业态参数!$Q$7+业态参数!$R$7+业态参数!$S$7)</f>
        <v/>
      </c>
      <c r="K7" s="65">
        <f>收入测算!K7*(业态参数!$Q$7+业态参数!$R$7+业态参数!$S$7)</f>
        <v/>
      </c>
      <c r="L7" s="65">
        <f>收入测算!L7*(业态参数!$Q$7+业态参数!$R$7+业态参数!$S$7)</f>
        <v/>
      </c>
      <c r="M7" s="65">
        <f>收入测算!M7*(业态参数!$Q$7+业态参数!$R$7+业态参数!$S$7)</f>
        <v/>
      </c>
      <c r="N7" s="65">
        <f>收入测算!N7*(业态参数!$Q$7+业态参数!$R$7+业态参数!$S$7)</f>
        <v/>
      </c>
      <c r="O7" s="65">
        <f>收入测算!O7*(业态参数!$Q$7+业态参数!$R$7+业态参数!$S$7)</f>
        <v/>
      </c>
      <c r="P7" s="65">
        <f>收入测算!P7*(业态参数!$Q$7+业态参数!$R$7+业态参数!$S$7)</f>
        <v/>
      </c>
      <c r="Q7" s="65">
        <f>收入测算!Q7*(业态参数!$Q$7+业态参数!$R$7+业态参数!$S$7)</f>
        <v/>
      </c>
      <c r="R7" s="65">
        <f>收入测算!R7*(业态参数!$Q$7+业态参数!$R$7+业态参数!$S$7)</f>
        <v/>
      </c>
      <c r="S7" s="65">
        <f>收入测算!S7*(业态参数!$Q$7+业态参数!$R$7+业态参数!$S$7)</f>
        <v/>
      </c>
      <c r="T7" s="65">
        <f>收入测算!T7*(业态参数!$Q$7+业态参数!$R$7+业态参数!$S$7)</f>
        <v/>
      </c>
      <c r="U7" s="65">
        <f>收入测算!U7*(业态参数!$Q$7+业态参数!$R$7+业态参数!$S$7)</f>
        <v/>
      </c>
      <c r="V7" s="19">
        <f>IF(收入测算!F7=0,0,(收入测算!F7-F7)/收入测算!F7)</f>
        <v/>
      </c>
    </row>
    <row r="8">
      <c r="A8" s="16" t="n">
        <v>4</v>
      </c>
      <c r="B8" s="8" t="inlineStr">
        <is>
          <t>动物萌宠互动</t>
        </is>
      </c>
      <c r="C8" s="58" t="inlineStr">
        <is>
          <t>联营</t>
        </is>
      </c>
      <c r="D8" s="64">
        <f>收入测算!D8*(业态参数!$Q$8+业态参数!$R$8+业态参数!$S$8)</f>
        <v/>
      </c>
      <c r="E8" s="64">
        <f>收入测算!E8*(业态参数!$Q$8+业态参数!$R$8+业态参数!$S$8)</f>
        <v/>
      </c>
      <c r="F8" s="65">
        <f>收入测算!F8*(业态参数!$Q$8+业态参数!$R$8+业态参数!$S$8)</f>
        <v/>
      </c>
      <c r="G8" s="65">
        <f>收入测算!G8*(业态参数!$Q$8+业态参数!$R$8+业态参数!$S$8)</f>
        <v/>
      </c>
      <c r="H8" s="65">
        <f>收入测算!H8*(业态参数!$Q$8+业态参数!$R$8+业态参数!$S$8)</f>
        <v/>
      </c>
      <c r="I8" s="65">
        <f>收入测算!I8*(业态参数!$Q$8+业态参数!$R$8+业态参数!$S$8)</f>
        <v/>
      </c>
      <c r="J8" s="65">
        <f>收入测算!J8*(业态参数!$Q$8+业态参数!$R$8+业态参数!$S$8)</f>
        <v/>
      </c>
      <c r="K8" s="65">
        <f>收入测算!K8*(业态参数!$Q$8+业态参数!$R$8+业态参数!$S$8)</f>
        <v/>
      </c>
      <c r="L8" s="65">
        <f>收入测算!L8*(业态参数!$Q$8+业态参数!$R$8+业态参数!$S$8)</f>
        <v/>
      </c>
      <c r="M8" s="65">
        <f>收入测算!M8*(业态参数!$Q$8+业态参数!$R$8+业态参数!$S$8)</f>
        <v/>
      </c>
      <c r="N8" s="65">
        <f>收入测算!N8*(业态参数!$Q$8+业态参数!$R$8+业态参数!$S$8)</f>
        <v/>
      </c>
      <c r="O8" s="65">
        <f>收入测算!O8*(业态参数!$Q$8+业态参数!$R$8+业态参数!$S$8)</f>
        <v/>
      </c>
      <c r="P8" s="65">
        <f>收入测算!P8*(业态参数!$Q$8+业态参数!$R$8+业态参数!$S$8)</f>
        <v/>
      </c>
      <c r="Q8" s="65">
        <f>收入测算!Q8*(业态参数!$Q$8+业态参数!$R$8+业态参数!$S$8)</f>
        <v/>
      </c>
      <c r="R8" s="65">
        <f>收入测算!R8*(业态参数!$Q$8+业态参数!$R$8+业态参数!$S$8)</f>
        <v/>
      </c>
      <c r="S8" s="65">
        <f>收入测算!S8*(业态参数!$Q$8+业态参数!$R$8+业态参数!$S$8)</f>
        <v/>
      </c>
      <c r="T8" s="65">
        <f>收入测算!T8*(业态参数!$Q$8+业态参数!$R$8+业态参数!$S$8)</f>
        <v/>
      </c>
      <c r="U8" s="65">
        <f>收入测算!U8*(业态参数!$Q$8+业态参数!$R$8+业态参数!$S$8)</f>
        <v/>
      </c>
      <c r="V8" s="19">
        <f>IF(收入测算!F8=0,0,(收入测算!F8-F8)/收入测算!F8)</f>
        <v/>
      </c>
    </row>
    <row r="9">
      <c r="A9" s="16" t="n">
        <v>5</v>
      </c>
      <c r="B9" s="8" t="inlineStr">
        <is>
          <t>湖畔影院</t>
        </is>
      </c>
      <c r="C9" s="58" t="inlineStr">
        <is>
          <t>联营</t>
        </is>
      </c>
      <c r="D9" s="64">
        <f>收入测算!D9*(业态参数!$Q$9+业态参数!$R$9+业态参数!$S$9)</f>
        <v/>
      </c>
      <c r="E9" s="64">
        <f>收入测算!E9*(业态参数!$Q$9+业态参数!$R$9+业态参数!$S$9)</f>
        <v/>
      </c>
      <c r="F9" s="65">
        <f>收入测算!F9*(业态参数!$Q$9+业态参数!$R$9+业态参数!$S$9)</f>
        <v/>
      </c>
      <c r="G9" s="65">
        <f>收入测算!G9*(业态参数!$Q$9+业态参数!$R$9+业态参数!$S$9)</f>
        <v/>
      </c>
      <c r="H9" s="65">
        <f>收入测算!H9*(业态参数!$Q$9+业态参数!$R$9+业态参数!$S$9)</f>
        <v/>
      </c>
      <c r="I9" s="65">
        <f>收入测算!I9*(业态参数!$Q$9+业态参数!$R$9+业态参数!$S$9)</f>
        <v/>
      </c>
      <c r="J9" s="65">
        <f>收入测算!J9*(业态参数!$Q$9+业态参数!$R$9+业态参数!$S$9)</f>
        <v/>
      </c>
      <c r="K9" s="65">
        <f>收入测算!K9*(业态参数!$Q$9+业态参数!$R$9+业态参数!$S$9)</f>
        <v/>
      </c>
      <c r="L9" s="65">
        <f>收入测算!L9*(业态参数!$Q$9+业态参数!$R$9+业态参数!$S$9)</f>
        <v/>
      </c>
      <c r="M9" s="65">
        <f>收入测算!M9*(业态参数!$Q$9+业态参数!$R$9+业态参数!$S$9)</f>
        <v/>
      </c>
      <c r="N9" s="65">
        <f>收入测算!N9*(业态参数!$Q$9+业态参数!$R$9+业态参数!$S$9)</f>
        <v/>
      </c>
      <c r="O9" s="65">
        <f>收入测算!O9*(业态参数!$Q$9+业态参数!$R$9+业态参数!$S$9)</f>
        <v/>
      </c>
      <c r="P9" s="65">
        <f>收入测算!P9*(业态参数!$Q$9+业态参数!$R$9+业态参数!$S$9)</f>
        <v/>
      </c>
      <c r="Q9" s="65">
        <f>收入测算!Q9*(业态参数!$Q$9+业态参数!$R$9+业态参数!$S$9)</f>
        <v/>
      </c>
      <c r="R9" s="65">
        <f>收入测算!R9*(业态参数!$Q$9+业态参数!$R$9+业态参数!$S$9)</f>
        <v/>
      </c>
      <c r="S9" s="65">
        <f>收入测算!S9*(业态参数!$Q$9+业态参数!$R$9+业态参数!$S$9)</f>
        <v/>
      </c>
      <c r="T9" s="65">
        <f>收入测算!T9*(业态参数!$Q$9+业态参数!$R$9+业态参数!$S$9)</f>
        <v/>
      </c>
      <c r="U9" s="65">
        <f>收入测算!U9*(业态参数!$Q$9+业态参数!$R$9+业态参数!$S$9)</f>
        <v/>
      </c>
      <c r="V9" s="19">
        <f>IF(收入测算!F9=0,0,(收入测算!F9-F9)/收入测算!F9)</f>
        <v/>
      </c>
    </row>
    <row r="10">
      <c r="A10" s="16" t="n">
        <v>6</v>
      </c>
      <c r="B10" s="8" t="inlineStr">
        <is>
          <t>青年街区</t>
        </is>
      </c>
      <c r="C10" s="30" t="inlineStr">
        <is>
          <t>出租</t>
        </is>
      </c>
      <c r="D10" s="64">
        <f>收入测算!D10*(业态参数!$Q$10+业态参数!$R$10+业态参数!$S$10)</f>
        <v/>
      </c>
      <c r="E10" s="64">
        <f>收入测算!E10*(业态参数!$Q$10+业态参数!$R$10+业态参数!$S$10)</f>
        <v/>
      </c>
      <c r="F10" s="65">
        <f>收入测算!F10*(业态参数!$Q$10+业态参数!$R$10+业态参数!$S$10)</f>
        <v/>
      </c>
      <c r="G10" s="65">
        <f>收入测算!G10*(业态参数!$Q$10+业态参数!$R$10+业态参数!$S$10)</f>
        <v/>
      </c>
      <c r="H10" s="65">
        <f>收入测算!H10*(业态参数!$Q$10+业态参数!$R$10+业态参数!$S$10)</f>
        <v/>
      </c>
      <c r="I10" s="65">
        <f>收入测算!I10*(业态参数!$Q$10+业态参数!$R$10+业态参数!$S$10)</f>
        <v/>
      </c>
      <c r="J10" s="65">
        <f>收入测算!J10*(业态参数!$Q$10+业态参数!$R$10+业态参数!$S$10)</f>
        <v/>
      </c>
      <c r="K10" s="65">
        <f>收入测算!K10*(业态参数!$Q$10+业态参数!$R$10+业态参数!$S$10)</f>
        <v/>
      </c>
      <c r="L10" s="65">
        <f>收入测算!L10*(业态参数!$Q$10+业态参数!$R$10+业态参数!$S$10)</f>
        <v/>
      </c>
      <c r="M10" s="65">
        <f>收入测算!M10*(业态参数!$Q$10+业态参数!$R$10+业态参数!$S$10)</f>
        <v/>
      </c>
      <c r="N10" s="65">
        <f>收入测算!N10*(业态参数!$Q$10+业态参数!$R$10+业态参数!$S$10)</f>
        <v/>
      </c>
      <c r="O10" s="65">
        <f>收入测算!O10*(业态参数!$Q$10+业态参数!$R$10+业态参数!$S$10)</f>
        <v/>
      </c>
      <c r="P10" s="65">
        <f>收入测算!P10*(业态参数!$Q$10+业态参数!$R$10+业态参数!$S$10)</f>
        <v/>
      </c>
      <c r="Q10" s="65">
        <f>收入测算!Q10*(业态参数!$Q$10+业态参数!$R$10+业态参数!$S$10)</f>
        <v/>
      </c>
      <c r="R10" s="65">
        <f>收入测算!R10*(业态参数!$Q$10+业态参数!$R$10+业态参数!$S$10)</f>
        <v/>
      </c>
      <c r="S10" s="65">
        <f>收入测算!S10*(业态参数!$Q$10+业态参数!$R$10+业态参数!$S$10)</f>
        <v/>
      </c>
      <c r="T10" s="65">
        <f>收入测算!T10*(业态参数!$Q$10+业态参数!$R$10+业态参数!$S$10)</f>
        <v/>
      </c>
      <c r="U10" s="65">
        <f>收入测算!U10*(业态参数!$Q$10+业态参数!$R$10+业态参数!$S$10)</f>
        <v/>
      </c>
      <c r="V10" s="19">
        <f>IF(收入测算!F10=0,0,(收入测算!F10-F10)/收入测算!F10)</f>
        <v/>
      </c>
    </row>
    <row r="11">
      <c r="A11" s="16" t="n">
        <v>7</v>
      </c>
      <c r="B11" s="8" t="inlineStr">
        <is>
          <t>茶屋氧吧</t>
        </is>
      </c>
      <c r="C11" s="58" t="inlineStr">
        <is>
          <t>联营</t>
        </is>
      </c>
      <c r="D11" s="64">
        <f>收入测算!D11*(业态参数!$Q$11+业态参数!$R$11+业态参数!$S$11)</f>
        <v/>
      </c>
      <c r="E11" s="64">
        <f>收入测算!E11*(业态参数!$Q$11+业态参数!$R$11+业态参数!$S$11)</f>
        <v/>
      </c>
      <c r="F11" s="65">
        <f>收入测算!F11*(业态参数!$Q$11+业态参数!$R$11+业态参数!$S$11)</f>
        <v/>
      </c>
      <c r="G11" s="65">
        <f>收入测算!G11*(业态参数!$Q$11+业态参数!$R$11+业态参数!$S$11)</f>
        <v/>
      </c>
      <c r="H11" s="65">
        <f>收入测算!H11*(业态参数!$Q$11+业态参数!$R$11+业态参数!$S$11)</f>
        <v/>
      </c>
      <c r="I11" s="65">
        <f>收入测算!I11*(业态参数!$Q$11+业态参数!$R$11+业态参数!$S$11)</f>
        <v/>
      </c>
      <c r="J11" s="65">
        <f>收入测算!J11*(业态参数!$Q$11+业态参数!$R$11+业态参数!$S$11)</f>
        <v/>
      </c>
      <c r="K11" s="65">
        <f>收入测算!K11*(业态参数!$Q$11+业态参数!$R$11+业态参数!$S$11)</f>
        <v/>
      </c>
      <c r="L11" s="65">
        <f>收入测算!L11*(业态参数!$Q$11+业态参数!$R$11+业态参数!$S$11)</f>
        <v/>
      </c>
      <c r="M11" s="65">
        <f>收入测算!M11*(业态参数!$Q$11+业态参数!$R$11+业态参数!$S$11)</f>
        <v/>
      </c>
      <c r="N11" s="65">
        <f>收入测算!N11*(业态参数!$Q$11+业态参数!$R$11+业态参数!$S$11)</f>
        <v/>
      </c>
      <c r="O11" s="65">
        <f>收入测算!O11*(业态参数!$Q$11+业态参数!$R$11+业态参数!$S$11)</f>
        <v/>
      </c>
      <c r="P11" s="65">
        <f>收入测算!P11*(业态参数!$Q$11+业态参数!$R$11+业态参数!$S$11)</f>
        <v/>
      </c>
      <c r="Q11" s="65">
        <f>收入测算!Q11*(业态参数!$Q$11+业态参数!$R$11+业态参数!$S$11)</f>
        <v/>
      </c>
      <c r="R11" s="65">
        <f>收入测算!R11*(业态参数!$Q$11+业态参数!$R$11+业态参数!$S$11)</f>
        <v/>
      </c>
      <c r="S11" s="65">
        <f>收入测算!S11*(业态参数!$Q$11+业态参数!$R$11+业态参数!$S$11)</f>
        <v/>
      </c>
      <c r="T11" s="65">
        <f>收入测算!T11*(业态参数!$Q$11+业态参数!$R$11+业态参数!$S$11)</f>
        <v/>
      </c>
      <c r="U11" s="65">
        <f>收入测算!U11*(业态参数!$Q$11+业态参数!$R$11+业态参数!$S$11)</f>
        <v/>
      </c>
      <c r="V11" s="19">
        <f>IF(收入测算!F11=0,0,(收入测算!F11-F11)/收入测算!F11)</f>
        <v/>
      </c>
    </row>
    <row r="12">
      <c r="A12" s="16" t="n">
        <v>8</v>
      </c>
      <c r="B12" s="8" t="inlineStr">
        <is>
          <t>素食餐厅</t>
        </is>
      </c>
      <c r="C12" s="58" t="inlineStr">
        <is>
          <t>联营</t>
        </is>
      </c>
      <c r="D12" s="64">
        <f>收入测算!D12*(业态参数!$Q$12+业态参数!$R$12+业态参数!$S$12)</f>
        <v/>
      </c>
      <c r="E12" s="64">
        <f>收入测算!E12*(业态参数!$Q$12+业态参数!$R$12+业态参数!$S$12)</f>
        <v/>
      </c>
      <c r="F12" s="65">
        <f>收入测算!F12*(业态参数!$Q$12+业态参数!$R$12+业态参数!$S$12)</f>
        <v/>
      </c>
      <c r="G12" s="65">
        <f>收入测算!G12*(业态参数!$Q$12+业态参数!$R$12+业态参数!$S$12)</f>
        <v/>
      </c>
      <c r="H12" s="65">
        <f>收入测算!H12*(业态参数!$Q$12+业态参数!$R$12+业态参数!$S$12)</f>
        <v/>
      </c>
      <c r="I12" s="65">
        <f>收入测算!I12*(业态参数!$Q$12+业态参数!$R$12+业态参数!$S$12)</f>
        <v/>
      </c>
      <c r="J12" s="65">
        <f>收入测算!J12*(业态参数!$Q$12+业态参数!$R$12+业态参数!$S$12)</f>
        <v/>
      </c>
      <c r="K12" s="65">
        <f>收入测算!K12*(业态参数!$Q$12+业态参数!$R$12+业态参数!$S$12)</f>
        <v/>
      </c>
      <c r="L12" s="65">
        <f>收入测算!L12*(业态参数!$Q$12+业态参数!$R$12+业态参数!$S$12)</f>
        <v/>
      </c>
      <c r="M12" s="65">
        <f>收入测算!M12*(业态参数!$Q$12+业态参数!$R$12+业态参数!$S$12)</f>
        <v/>
      </c>
      <c r="N12" s="65">
        <f>收入测算!N12*(业态参数!$Q$12+业态参数!$R$12+业态参数!$S$12)</f>
        <v/>
      </c>
      <c r="O12" s="65">
        <f>收入测算!O12*(业态参数!$Q$12+业态参数!$R$12+业态参数!$S$12)</f>
        <v/>
      </c>
      <c r="P12" s="65">
        <f>收入测算!P12*(业态参数!$Q$12+业态参数!$R$12+业态参数!$S$12)</f>
        <v/>
      </c>
      <c r="Q12" s="65">
        <f>收入测算!Q12*(业态参数!$Q$12+业态参数!$R$12+业态参数!$S$12)</f>
        <v/>
      </c>
      <c r="R12" s="65">
        <f>收入测算!R12*(业态参数!$Q$12+业态参数!$R$12+业态参数!$S$12)</f>
        <v/>
      </c>
      <c r="S12" s="65">
        <f>收入测算!S12*(业态参数!$Q$12+业态参数!$R$12+业态参数!$S$12)</f>
        <v/>
      </c>
      <c r="T12" s="65">
        <f>收入测算!T12*(业态参数!$Q$12+业态参数!$R$12+业态参数!$S$12)</f>
        <v/>
      </c>
      <c r="U12" s="65">
        <f>收入测算!U12*(业态参数!$Q$12+业态参数!$R$12+业态参数!$S$12)</f>
        <v/>
      </c>
      <c r="V12" s="19">
        <f>IF(收入测算!F12=0,0,(收入测算!F12-F12)/收入测算!F12)</f>
        <v/>
      </c>
    </row>
    <row r="13">
      <c r="A13" s="16" t="n">
        <v>9</v>
      </c>
      <c r="B13" s="8" t="inlineStr">
        <is>
          <t>庙会/市集</t>
        </is>
      </c>
      <c r="C13" s="58" t="inlineStr">
        <is>
          <t>联营</t>
        </is>
      </c>
      <c r="D13" s="64">
        <f>收入测算!D13*(业态参数!$Q$13+业态参数!$R$13+业态参数!$S$13)</f>
        <v/>
      </c>
      <c r="E13" s="64">
        <f>收入测算!E13*(业态参数!$Q$13+业态参数!$R$13+业态参数!$S$13)</f>
        <v/>
      </c>
      <c r="F13" s="65">
        <f>收入测算!F13*(业态参数!$Q$13+业态参数!$R$13+业态参数!$S$13)</f>
        <v/>
      </c>
      <c r="G13" s="65">
        <f>收入测算!G13*(业态参数!$Q$13+业态参数!$R$13+业态参数!$S$13)</f>
        <v/>
      </c>
      <c r="H13" s="65">
        <f>收入测算!H13*(业态参数!$Q$13+业态参数!$R$13+业态参数!$S$13)</f>
        <v/>
      </c>
      <c r="I13" s="65">
        <f>收入测算!I13*(业态参数!$Q$13+业态参数!$R$13+业态参数!$S$13)</f>
        <v/>
      </c>
      <c r="J13" s="65">
        <f>收入测算!J13*(业态参数!$Q$13+业态参数!$R$13+业态参数!$S$13)</f>
        <v/>
      </c>
      <c r="K13" s="65">
        <f>收入测算!K13*(业态参数!$Q$13+业态参数!$R$13+业态参数!$S$13)</f>
        <v/>
      </c>
      <c r="L13" s="65">
        <f>收入测算!L13*(业态参数!$Q$13+业态参数!$R$13+业态参数!$S$13)</f>
        <v/>
      </c>
      <c r="M13" s="65">
        <f>收入测算!M13*(业态参数!$Q$13+业态参数!$R$13+业态参数!$S$13)</f>
        <v/>
      </c>
      <c r="N13" s="65">
        <f>收入测算!N13*(业态参数!$Q$13+业态参数!$R$13+业态参数!$S$13)</f>
        <v/>
      </c>
      <c r="O13" s="65">
        <f>收入测算!O13*(业态参数!$Q$13+业态参数!$R$13+业态参数!$S$13)</f>
        <v/>
      </c>
      <c r="P13" s="65">
        <f>收入测算!P13*(业态参数!$Q$13+业态参数!$R$13+业态参数!$S$13)</f>
        <v/>
      </c>
      <c r="Q13" s="65">
        <f>收入测算!Q13*(业态参数!$Q$13+业态参数!$R$13+业态参数!$S$13)</f>
        <v/>
      </c>
      <c r="R13" s="65">
        <f>收入测算!R13*(业态参数!$Q$13+业态参数!$R$13+业态参数!$S$13)</f>
        <v/>
      </c>
      <c r="S13" s="65">
        <f>收入测算!S13*(业态参数!$Q$13+业态参数!$R$13+业态参数!$S$13)</f>
        <v/>
      </c>
      <c r="T13" s="65">
        <f>收入测算!T13*(业态参数!$Q$13+业态参数!$R$13+业态参数!$S$13)</f>
        <v/>
      </c>
      <c r="U13" s="65">
        <f>收入测算!U13*(业态参数!$Q$13+业态参数!$R$13+业态参数!$S$13)</f>
        <v/>
      </c>
      <c r="V13" s="19">
        <f>IF(收入测算!F13=0,0,(收入测算!F13-F13)/收入测算!F13)</f>
        <v/>
      </c>
    </row>
    <row r="14">
      <c r="A14" s="16" t="n">
        <v>10</v>
      </c>
      <c r="B14" s="8" t="inlineStr">
        <is>
          <t>婚礼花园</t>
        </is>
      </c>
      <c r="C14" s="60" t="inlineStr">
        <is>
          <t>自营</t>
        </is>
      </c>
      <c r="D14" s="64">
        <f>收入测算!D14*(业态参数!$Q$14+业态参数!$R$14+业态参数!$S$14)</f>
        <v/>
      </c>
      <c r="E14" s="64">
        <f>收入测算!E14*(业态参数!$Q$14+业态参数!$R$14+业态参数!$S$14)</f>
        <v/>
      </c>
      <c r="F14" s="65">
        <f>收入测算!F14*(业态参数!$Q$14+业态参数!$R$14+业态参数!$S$14)</f>
        <v/>
      </c>
      <c r="G14" s="65">
        <f>收入测算!G14*(业态参数!$Q$14+业态参数!$R$14+业态参数!$S$14)</f>
        <v/>
      </c>
      <c r="H14" s="65">
        <f>收入测算!H14*(业态参数!$Q$14+业态参数!$R$14+业态参数!$S$14)</f>
        <v/>
      </c>
      <c r="I14" s="65">
        <f>收入测算!I14*(业态参数!$Q$14+业态参数!$R$14+业态参数!$S$14)</f>
        <v/>
      </c>
      <c r="J14" s="65">
        <f>收入测算!J14*(业态参数!$Q$14+业态参数!$R$14+业态参数!$S$14)</f>
        <v/>
      </c>
      <c r="K14" s="65">
        <f>收入测算!K14*(业态参数!$Q$14+业态参数!$R$14+业态参数!$S$14)</f>
        <v/>
      </c>
      <c r="L14" s="65">
        <f>收入测算!L14*(业态参数!$Q$14+业态参数!$R$14+业态参数!$S$14)</f>
        <v/>
      </c>
      <c r="M14" s="65">
        <f>收入测算!M14*(业态参数!$Q$14+业态参数!$R$14+业态参数!$S$14)</f>
        <v/>
      </c>
      <c r="N14" s="65">
        <f>收入测算!N14*(业态参数!$Q$14+业态参数!$R$14+业态参数!$S$14)</f>
        <v/>
      </c>
      <c r="O14" s="65">
        <f>收入测算!O14*(业态参数!$Q$14+业态参数!$R$14+业态参数!$S$14)</f>
        <v/>
      </c>
      <c r="P14" s="65">
        <f>收入测算!P14*(业态参数!$Q$14+业态参数!$R$14+业态参数!$S$14)</f>
        <v/>
      </c>
      <c r="Q14" s="65">
        <f>收入测算!Q14*(业态参数!$Q$14+业态参数!$R$14+业态参数!$S$14)</f>
        <v/>
      </c>
      <c r="R14" s="65">
        <f>收入测算!R14*(业态参数!$Q$14+业态参数!$R$14+业态参数!$S$14)</f>
        <v/>
      </c>
      <c r="S14" s="65">
        <f>收入测算!S14*(业态参数!$Q$14+业态参数!$R$14+业态参数!$S$14)</f>
        <v/>
      </c>
      <c r="T14" s="65">
        <f>收入测算!T14*(业态参数!$Q$14+业态参数!$R$14+业态参数!$S$14)</f>
        <v/>
      </c>
      <c r="U14" s="65">
        <f>收入测算!U14*(业态参数!$Q$14+业态参数!$R$14+业态参数!$S$14)</f>
        <v/>
      </c>
      <c r="V14" s="19">
        <f>IF(收入测算!F14=0,0,(收入测算!F14-F14)/收入测算!F14)</f>
        <v/>
      </c>
    </row>
    <row r="15">
      <c r="A15" s="16" t="n">
        <v>11</v>
      </c>
      <c r="B15" s="8" t="inlineStr">
        <is>
          <t>雪地冰屋</t>
        </is>
      </c>
      <c r="C15" s="30" t="inlineStr">
        <is>
          <t>出租</t>
        </is>
      </c>
      <c r="D15" s="64">
        <f>收入测算!D15*(业态参数!$Q$15+业态参数!$R$15+业态参数!$S$15)</f>
        <v/>
      </c>
      <c r="E15" s="64">
        <f>收入测算!E15*(业态参数!$Q$15+业态参数!$R$15+业态参数!$S$15)</f>
        <v/>
      </c>
      <c r="F15" s="65">
        <f>收入测算!F15*(业态参数!$Q$15+业态参数!$R$15+业态参数!$S$15)</f>
        <v/>
      </c>
      <c r="G15" s="65">
        <f>收入测算!G15*(业态参数!$Q$15+业态参数!$R$15+业态参数!$S$15)</f>
        <v/>
      </c>
      <c r="H15" s="65">
        <f>收入测算!H15*(业态参数!$Q$15+业态参数!$R$15+业态参数!$S$15)</f>
        <v/>
      </c>
      <c r="I15" s="65">
        <f>收入测算!I15*(业态参数!$Q$15+业态参数!$R$15+业态参数!$S$15)</f>
        <v/>
      </c>
      <c r="J15" s="65">
        <f>收入测算!J15*(业态参数!$Q$15+业态参数!$R$15+业态参数!$S$15)</f>
        <v/>
      </c>
      <c r="K15" s="65">
        <f>收入测算!K15*(业态参数!$Q$15+业态参数!$R$15+业态参数!$S$15)</f>
        <v/>
      </c>
      <c r="L15" s="65">
        <f>收入测算!L15*(业态参数!$Q$15+业态参数!$R$15+业态参数!$S$15)</f>
        <v/>
      </c>
      <c r="M15" s="65">
        <f>收入测算!M15*(业态参数!$Q$15+业态参数!$R$15+业态参数!$S$15)</f>
        <v/>
      </c>
      <c r="N15" s="65">
        <f>收入测算!N15*(业态参数!$Q$15+业态参数!$R$15+业态参数!$S$15)</f>
        <v/>
      </c>
      <c r="O15" s="65">
        <f>收入测算!O15*(业态参数!$Q$15+业态参数!$R$15+业态参数!$S$15)</f>
        <v/>
      </c>
      <c r="P15" s="65">
        <f>收入测算!P15*(业态参数!$Q$15+业态参数!$R$15+业态参数!$S$15)</f>
        <v/>
      </c>
      <c r="Q15" s="65">
        <f>收入测算!Q15*(业态参数!$Q$15+业态参数!$R$15+业态参数!$S$15)</f>
        <v/>
      </c>
      <c r="R15" s="65">
        <f>收入测算!R15*(业态参数!$Q$15+业态参数!$R$15+业态参数!$S$15)</f>
        <v/>
      </c>
      <c r="S15" s="65">
        <f>收入测算!S15*(业态参数!$Q$15+业态参数!$R$15+业态参数!$S$15)</f>
        <v/>
      </c>
      <c r="T15" s="65">
        <f>收入测算!T15*(业态参数!$Q$15+业态参数!$R$15+业态参数!$S$15)</f>
        <v/>
      </c>
      <c r="U15" s="65">
        <f>收入测算!U15*(业态参数!$Q$15+业态参数!$R$15+业态参数!$S$15)</f>
        <v/>
      </c>
      <c r="V15" s="19">
        <f>IF(收入测算!F15=0,0,(收入测算!F15-F15)/收入测算!F15)</f>
        <v/>
      </c>
    </row>
    <row r="16">
      <c r="A16" s="16" t="n">
        <v>12</v>
      </c>
      <c r="B16" s="8" t="inlineStr">
        <is>
          <t>森林剧场</t>
        </is>
      </c>
      <c r="C16" s="58" t="inlineStr">
        <is>
          <t>联营</t>
        </is>
      </c>
      <c r="D16" s="64">
        <f>收入测算!D16*(业态参数!$Q$16+业态参数!$R$16+业态参数!$S$16)</f>
        <v/>
      </c>
      <c r="E16" s="64">
        <f>收入测算!E16*(业态参数!$Q$16+业态参数!$R$16+业态参数!$S$16)</f>
        <v/>
      </c>
      <c r="F16" s="65">
        <f>收入测算!F16*(业态参数!$Q$16+业态参数!$R$16+业态参数!$S$16)</f>
        <v/>
      </c>
      <c r="G16" s="65">
        <f>收入测算!G16*(业态参数!$Q$16+业态参数!$R$16+业态参数!$S$16)</f>
        <v/>
      </c>
      <c r="H16" s="65">
        <f>收入测算!H16*(业态参数!$Q$16+业态参数!$R$16+业态参数!$S$16)</f>
        <v/>
      </c>
      <c r="I16" s="65">
        <f>收入测算!I16*(业态参数!$Q$16+业态参数!$R$16+业态参数!$S$16)</f>
        <v/>
      </c>
      <c r="J16" s="65">
        <f>收入测算!J16*(业态参数!$Q$16+业态参数!$R$16+业态参数!$S$16)</f>
        <v/>
      </c>
      <c r="K16" s="65">
        <f>收入测算!K16*(业态参数!$Q$16+业态参数!$R$16+业态参数!$S$16)</f>
        <v/>
      </c>
      <c r="L16" s="65">
        <f>收入测算!L16*(业态参数!$Q$16+业态参数!$R$16+业态参数!$S$16)</f>
        <v/>
      </c>
      <c r="M16" s="65">
        <f>收入测算!M16*(业态参数!$Q$16+业态参数!$R$16+业态参数!$S$16)</f>
        <v/>
      </c>
      <c r="N16" s="65">
        <f>收入测算!N16*(业态参数!$Q$16+业态参数!$R$16+业态参数!$S$16)</f>
        <v/>
      </c>
      <c r="O16" s="65">
        <f>收入测算!O16*(业态参数!$Q$16+业态参数!$R$16+业态参数!$S$16)</f>
        <v/>
      </c>
      <c r="P16" s="65">
        <f>收入测算!P16*(业态参数!$Q$16+业态参数!$R$16+业态参数!$S$16)</f>
        <v/>
      </c>
      <c r="Q16" s="65">
        <f>收入测算!Q16*(业态参数!$Q$16+业态参数!$R$16+业态参数!$S$16)</f>
        <v/>
      </c>
      <c r="R16" s="65">
        <f>收入测算!R16*(业态参数!$Q$16+业态参数!$R$16+业态参数!$S$16)</f>
        <v/>
      </c>
      <c r="S16" s="65">
        <f>收入测算!S16*(业态参数!$Q$16+业态参数!$R$16+业态参数!$S$16)</f>
        <v/>
      </c>
      <c r="T16" s="65">
        <f>收入测算!T16*(业态参数!$Q$16+业态参数!$R$16+业态参数!$S$16)</f>
        <v/>
      </c>
      <c r="U16" s="65">
        <f>收入测算!U16*(业态参数!$Q$16+业态参数!$R$16+业态参数!$S$16)</f>
        <v/>
      </c>
      <c r="V16" s="19">
        <f>IF(收入测算!F16=0,0,(收入测算!F16-F16)/收入测算!F16)</f>
        <v/>
      </c>
    </row>
    <row r="17">
      <c r="A17" s="16" t="n">
        <v>13</v>
      </c>
      <c r="B17" s="8" t="inlineStr">
        <is>
          <t>禅修道苑</t>
        </is>
      </c>
      <c r="C17" s="58" t="inlineStr">
        <is>
          <t>联营</t>
        </is>
      </c>
      <c r="D17" s="64">
        <f>收入测算!D17*(业态参数!$Q$17+业态参数!$R$17+业态参数!$S$17)</f>
        <v/>
      </c>
      <c r="E17" s="64">
        <f>收入测算!E17*(业态参数!$Q$17+业态参数!$R$17+业态参数!$S$17)</f>
        <v/>
      </c>
      <c r="F17" s="65">
        <f>收入测算!F17*(业态参数!$Q$17+业态参数!$R$17+业态参数!$S$17)</f>
        <v/>
      </c>
      <c r="G17" s="65">
        <f>收入测算!G17*(业态参数!$Q$17+业态参数!$R$17+业态参数!$S$17)</f>
        <v/>
      </c>
      <c r="H17" s="65">
        <f>收入测算!H17*(业态参数!$Q$17+业态参数!$R$17+业态参数!$S$17)</f>
        <v/>
      </c>
      <c r="I17" s="65">
        <f>收入测算!I17*(业态参数!$Q$17+业态参数!$R$17+业态参数!$S$17)</f>
        <v/>
      </c>
      <c r="J17" s="65">
        <f>收入测算!J17*(业态参数!$Q$17+业态参数!$R$17+业态参数!$S$17)</f>
        <v/>
      </c>
      <c r="K17" s="65">
        <f>收入测算!K17*(业态参数!$Q$17+业态参数!$R$17+业态参数!$S$17)</f>
        <v/>
      </c>
      <c r="L17" s="65">
        <f>收入测算!L17*(业态参数!$Q$17+业态参数!$R$17+业态参数!$S$17)</f>
        <v/>
      </c>
      <c r="M17" s="65">
        <f>收入测算!M17*(业态参数!$Q$17+业态参数!$R$17+业态参数!$S$17)</f>
        <v/>
      </c>
      <c r="N17" s="65">
        <f>收入测算!N17*(业态参数!$Q$17+业态参数!$R$17+业态参数!$S$17)</f>
        <v/>
      </c>
      <c r="O17" s="65">
        <f>收入测算!O17*(业态参数!$Q$17+业态参数!$R$17+业态参数!$S$17)</f>
        <v/>
      </c>
      <c r="P17" s="65">
        <f>收入测算!P17*(业态参数!$Q$17+业态参数!$R$17+业态参数!$S$17)</f>
        <v/>
      </c>
      <c r="Q17" s="65">
        <f>收入测算!Q17*(业态参数!$Q$17+业态参数!$R$17+业态参数!$S$17)</f>
        <v/>
      </c>
      <c r="R17" s="65">
        <f>收入测算!R17*(业态参数!$Q$17+业态参数!$R$17+业态参数!$S$17)</f>
        <v/>
      </c>
      <c r="S17" s="65">
        <f>收入测算!S17*(业态参数!$Q$17+业态参数!$R$17+业态参数!$S$17)</f>
        <v/>
      </c>
      <c r="T17" s="65">
        <f>收入测算!T17*(业态参数!$Q$17+业态参数!$R$17+业态参数!$S$17)</f>
        <v/>
      </c>
      <c r="U17" s="65">
        <f>收入测算!U17*(业态参数!$Q$17+业态参数!$R$17+业态参数!$S$17)</f>
        <v/>
      </c>
      <c r="V17" s="19">
        <f>IF(收入测算!F17=0,0,(收入测算!F17-F17)/收入测算!F17)</f>
        <v/>
      </c>
    </row>
    <row r="18">
      <c r="A18" s="16" t="n">
        <v>14</v>
      </c>
      <c r="B18" s="8" t="inlineStr">
        <is>
          <t>悬崖咖啡</t>
        </is>
      </c>
      <c r="C18" s="58" t="inlineStr">
        <is>
          <t>联营</t>
        </is>
      </c>
      <c r="D18" s="64">
        <f>收入测算!D18*(业态参数!$Q$18+业态参数!$R$18+业态参数!$S$18)</f>
        <v/>
      </c>
      <c r="E18" s="64">
        <f>收入测算!E18*(业态参数!$Q$18+业态参数!$R$18+业态参数!$S$18)</f>
        <v/>
      </c>
      <c r="F18" s="65">
        <f>收入测算!F18*(业态参数!$Q$18+业态参数!$R$18+业态参数!$S$18)</f>
        <v/>
      </c>
      <c r="G18" s="65">
        <f>收入测算!G18*(业态参数!$Q$18+业态参数!$R$18+业态参数!$S$18)</f>
        <v/>
      </c>
      <c r="H18" s="65">
        <f>收入测算!H18*(业态参数!$Q$18+业态参数!$R$18+业态参数!$S$18)</f>
        <v/>
      </c>
      <c r="I18" s="65">
        <f>收入测算!I18*(业态参数!$Q$18+业态参数!$R$18+业态参数!$S$18)</f>
        <v/>
      </c>
      <c r="J18" s="65">
        <f>收入测算!J18*(业态参数!$Q$18+业态参数!$R$18+业态参数!$S$18)</f>
        <v/>
      </c>
      <c r="K18" s="65">
        <f>收入测算!K18*(业态参数!$Q$18+业态参数!$R$18+业态参数!$S$18)</f>
        <v/>
      </c>
      <c r="L18" s="65">
        <f>收入测算!L18*(业态参数!$Q$18+业态参数!$R$18+业态参数!$S$18)</f>
        <v/>
      </c>
      <c r="M18" s="65">
        <f>收入测算!M18*(业态参数!$Q$18+业态参数!$R$18+业态参数!$S$18)</f>
        <v/>
      </c>
      <c r="N18" s="65">
        <f>收入测算!N18*(业态参数!$Q$18+业态参数!$R$18+业态参数!$S$18)</f>
        <v/>
      </c>
      <c r="O18" s="65">
        <f>收入测算!O18*(业态参数!$Q$18+业态参数!$R$18+业态参数!$S$18)</f>
        <v/>
      </c>
      <c r="P18" s="65">
        <f>收入测算!P18*(业态参数!$Q$18+业态参数!$R$18+业态参数!$S$18)</f>
        <v/>
      </c>
      <c r="Q18" s="65">
        <f>收入测算!Q18*(业态参数!$Q$18+业态参数!$R$18+业态参数!$S$18)</f>
        <v/>
      </c>
      <c r="R18" s="65">
        <f>收入测算!R18*(业态参数!$Q$18+业态参数!$R$18+业态参数!$S$18)</f>
        <v/>
      </c>
      <c r="S18" s="65">
        <f>收入测算!S18*(业态参数!$Q$18+业态参数!$R$18+业态参数!$S$18)</f>
        <v/>
      </c>
      <c r="T18" s="65">
        <f>收入测算!T18*(业态参数!$Q$18+业态参数!$R$18+业态参数!$S$18)</f>
        <v/>
      </c>
      <c r="U18" s="65">
        <f>收入测算!U18*(业态参数!$Q$18+业态参数!$R$18+业态参数!$S$18)</f>
        <v/>
      </c>
      <c r="V18" s="19">
        <f>IF(收入测算!F18=0,0,(收入测算!F18-F18)/收入测算!F18)</f>
        <v/>
      </c>
    </row>
    <row r="19">
      <c r="A19" s="16" t="n">
        <v>15</v>
      </c>
      <c r="B19" s="8" t="inlineStr">
        <is>
          <t>许愿祈福</t>
        </is>
      </c>
      <c r="C19" s="58" t="inlineStr">
        <is>
          <t>联营</t>
        </is>
      </c>
      <c r="D19" s="64">
        <f>收入测算!D19*(业态参数!$Q$19+业态参数!$R$19+业态参数!$S$19)</f>
        <v/>
      </c>
      <c r="E19" s="64">
        <f>收入测算!E19*(业态参数!$Q$19+业态参数!$R$19+业态参数!$S$19)</f>
        <v/>
      </c>
      <c r="F19" s="65">
        <f>收入测算!F19*(业态参数!$Q$19+业态参数!$R$19+业态参数!$S$19)</f>
        <v/>
      </c>
      <c r="G19" s="65">
        <f>收入测算!G19*(业态参数!$Q$19+业态参数!$R$19+业态参数!$S$19)</f>
        <v/>
      </c>
      <c r="H19" s="65">
        <f>收入测算!H19*(业态参数!$Q$19+业态参数!$R$19+业态参数!$S$19)</f>
        <v/>
      </c>
      <c r="I19" s="65">
        <f>收入测算!I19*(业态参数!$Q$19+业态参数!$R$19+业态参数!$S$19)</f>
        <v/>
      </c>
      <c r="J19" s="65">
        <f>收入测算!J19*(业态参数!$Q$19+业态参数!$R$19+业态参数!$S$19)</f>
        <v/>
      </c>
      <c r="K19" s="65">
        <f>收入测算!K19*(业态参数!$Q$19+业态参数!$R$19+业态参数!$S$19)</f>
        <v/>
      </c>
      <c r="L19" s="65">
        <f>收入测算!L19*(业态参数!$Q$19+业态参数!$R$19+业态参数!$S$19)</f>
        <v/>
      </c>
      <c r="M19" s="65">
        <f>收入测算!M19*(业态参数!$Q$19+业态参数!$R$19+业态参数!$S$19)</f>
        <v/>
      </c>
      <c r="N19" s="65">
        <f>收入测算!N19*(业态参数!$Q$19+业态参数!$R$19+业态参数!$S$19)</f>
        <v/>
      </c>
      <c r="O19" s="65">
        <f>收入测算!O19*(业态参数!$Q$19+业态参数!$R$19+业态参数!$S$19)</f>
        <v/>
      </c>
      <c r="P19" s="65">
        <f>收入测算!P19*(业态参数!$Q$19+业态参数!$R$19+业态参数!$S$19)</f>
        <v/>
      </c>
      <c r="Q19" s="65">
        <f>收入测算!Q19*(业态参数!$Q$19+业态参数!$R$19+业态参数!$S$19)</f>
        <v/>
      </c>
      <c r="R19" s="65">
        <f>收入测算!R19*(业态参数!$Q$19+业态参数!$R$19+业态参数!$S$19)</f>
        <v/>
      </c>
      <c r="S19" s="65">
        <f>收入测算!S19*(业态参数!$Q$19+业态参数!$R$19+业态参数!$S$19)</f>
        <v/>
      </c>
      <c r="T19" s="65">
        <f>收入测算!T19*(业态参数!$Q$19+业态参数!$R$19+业态参数!$S$19)</f>
        <v/>
      </c>
      <c r="U19" s="65">
        <f>收入测算!U19*(业态参数!$Q$19+业态参数!$R$19+业态参数!$S$19)</f>
        <v/>
      </c>
      <c r="V19" s="19">
        <f>IF(收入测算!F19=0,0,(收入测算!F19-F19)/收入测算!F19)</f>
        <v/>
      </c>
    </row>
    <row r="20">
      <c r="A20" s="16" t="n">
        <v>16</v>
      </c>
      <c r="B20" s="8" t="inlineStr">
        <is>
          <t>树屋及星空露营</t>
        </is>
      </c>
      <c r="C20" s="58" t="inlineStr">
        <is>
          <t>联营</t>
        </is>
      </c>
      <c r="D20" s="64">
        <f>收入测算!D20*(业态参数!$Q$20+业态参数!$R$20+业态参数!$S$20)</f>
        <v/>
      </c>
      <c r="E20" s="64">
        <f>收入测算!E20*(业态参数!$Q$20+业态参数!$R$20+业态参数!$S$20)</f>
        <v/>
      </c>
      <c r="F20" s="65">
        <f>收入测算!F20*(业态参数!$Q$20+业态参数!$R$20+业态参数!$S$20)</f>
        <v/>
      </c>
      <c r="G20" s="65">
        <f>收入测算!G20*(业态参数!$Q$20+业态参数!$R$20+业态参数!$S$20)</f>
        <v/>
      </c>
      <c r="H20" s="65">
        <f>收入测算!H20*(业态参数!$Q$20+业态参数!$R$20+业态参数!$S$20)</f>
        <v/>
      </c>
      <c r="I20" s="65">
        <f>收入测算!I20*(业态参数!$Q$20+业态参数!$R$20+业态参数!$S$20)</f>
        <v/>
      </c>
      <c r="J20" s="65">
        <f>收入测算!J20*(业态参数!$Q$20+业态参数!$R$20+业态参数!$S$20)</f>
        <v/>
      </c>
      <c r="K20" s="65">
        <f>收入测算!K20*(业态参数!$Q$20+业态参数!$R$20+业态参数!$S$20)</f>
        <v/>
      </c>
      <c r="L20" s="65">
        <f>收入测算!L20*(业态参数!$Q$20+业态参数!$R$20+业态参数!$S$20)</f>
        <v/>
      </c>
      <c r="M20" s="65">
        <f>收入测算!M20*(业态参数!$Q$20+业态参数!$R$20+业态参数!$S$20)</f>
        <v/>
      </c>
      <c r="N20" s="65">
        <f>收入测算!N20*(业态参数!$Q$20+业态参数!$R$20+业态参数!$S$20)</f>
        <v/>
      </c>
      <c r="O20" s="65">
        <f>收入测算!O20*(业态参数!$Q$20+业态参数!$R$20+业态参数!$S$20)</f>
        <v/>
      </c>
      <c r="P20" s="65">
        <f>收入测算!P20*(业态参数!$Q$20+业态参数!$R$20+业态参数!$S$20)</f>
        <v/>
      </c>
      <c r="Q20" s="65">
        <f>收入测算!Q20*(业态参数!$Q$20+业态参数!$R$20+业态参数!$S$20)</f>
        <v/>
      </c>
      <c r="R20" s="65">
        <f>收入测算!R20*(业态参数!$Q$20+业态参数!$R$20+业态参数!$S$20)</f>
        <v/>
      </c>
      <c r="S20" s="65">
        <f>收入测算!S20*(业态参数!$Q$20+业态参数!$R$20+业态参数!$S$20)</f>
        <v/>
      </c>
      <c r="T20" s="65">
        <f>收入测算!T20*(业态参数!$Q$20+业态参数!$R$20+业态参数!$S$20)</f>
        <v/>
      </c>
      <c r="U20" s="65">
        <f>收入测算!U20*(业态参数!$Q$20+业态参数!$R$20+业态参数!$S$20)</f>
        <v/>
      </c>
      <c r="V20" s="19">
        <f>IF(收入测算!F20=0,0,(收入测算!F20-F20)/收入测算!F20)</f>
        <v/>
      </c>
    </row>
    <row r="21">
      <c r="A21" s="16" t="n">
        <v>17</v>
      </c>
      <c r="B21" s="8" t="inlineStr">
        <is>
          <t>山洞酒庄</t>
        </is>
      </c>
      <c r="C21" s="60" t="inlineStr">
        <is>
          <t>自营</t>
        </is>
      </c>
      <c r="D21" s="64">
        <f>收入测算!D21*(业态参数!$Q$21+业态参数!$R$21+业态参数!$S$21)</f>
        <v/>
      </c>
      <c r="E21" s="64">
        <f>收入测算!E21*(业态参数!$Q$21+业态参数!$R$21+业态参数!$S$21)</f>
        <v/>
      </c>
      <c r="F21" s="65">
        <f>收入测算!F21*(业态参数!$Q$21+业态参数!$R$21+业态参数!$S$21)</f>
        <v/>
      </c>
      <c r="G21" s="65">
        <f>收入测算!G21*(业态参数!$Q$21+业态参数!$R$21+业态参数!$S$21)</f>
        <v/>
      </c>
      <c r="H21" s="65">
        <f>收入测算!H21*(业态参数!$Q$21+业态参数!$R$21+业态参数!$S$21)</f>
        <v/>
      </c>
      <c r="I21" s="65">
        <f>收入测算!I21*(业态参数!$Q$21+业态参数!$R$21+业态参数!$S$21)</f>
        <v/>
      </c>
      <c r="J21" s="65">
        <f>收入测算!J21*(业态参数!$Q$21+业态参数!$R$21+业态参数!$S$21)</f>
        <v/>
      </c>
      <c r="K21" s="65">
        <f>收入测算!K21*(业态参数!$Q$21+业态参数!$R$21+业态参数!$S$21)</f>
        <v/>
      </c>
      <c r="L21" s="65">
        <f>收入测算!L21*(业态参数!$Q$21+业态参数!$R$21+业态参数!$S$21)</f>
        <v/>
      </c>
      <c r="M21" s="65">
        <f>收入测算!M21*(业态参数!$Q$21+业态参数!$R$21+业态参数!$S$21)</f>
        <v/>
      </c>
      <c r="N21" s="65">
        <f>收入测算!N21*(业态参数!$Q$21+业态参数!$R$21+业态参数!$S$21)</f>
        <v/>
      </c>
      <c r="O21" s="65">
        <f>收入测算!O21*(业态参数!$Q$21+业态参数!$R$21+业态参数!$S$21)</f>
        <v/>
      </c>
      <c r="P21" s="65">
        <f>收入测算!P21*(业态参数!$Q$21+业态参数!$R$21+业态参数!$S$21)</f>
        <v/>
      </c>
      <c r="Q21" s="65">
        <f>收入测算!Q21*(业态参数!$Q$21+业态参数!$R$21+业态参数!$S$21)</f>
        <v/>
      </c>
      <c r="R21" s="65">
        <f>收入测算!R21*(业态参数!$Q$21+业态参数!$R$21+业态参数!$S$21)</f>
        <v/>
      </c>
      <c r="S21" s="65">
        <f>收入测算!S21*(业态参数!$Q$21+业态参数!$R$21+业态参数!$S$21)</f>
        <v/>
      </c>
      <c r="T21" s="65">
        <f>收入测算!T21*(业态参数!$Q$21+业态参数!$R$21+业态参数!$S$21)</f>
        <v/>
      </c>
      <c r="U21" s="65">
        <f>收入测算!U21*(业态参数!$Q$21+业态参数!$R$21+业态参数!$S$21)</f>
        <v/>
      </c>
      <c r="V21" s="19">
        <f>IF(收入测算!F21=0,0,(收入测算!F21-F21)/收入测算!F21)</f>
        <v/>
      </c>
    </row>
    <row r="22">
      <c r="A22" s="16" t="n">
        <v>18</v>
      </c>
      <c r="B22" s="8" t="inlineStr">
        <is>
          <t>公园旅拍</t>
        </is>
      </c>
      <c r="C22" s="58" t="inlineStr">
        <is>
          <t>联营</t>
        </is>
      </c>
      <c r="D22" s="64">
        <f>收入测算!D22*(业态参数!$Q$22+业态参数!$R$22+业态参数!$S$22)</f>
        <v/>
      </c>
      <c r="E22" s="64">
        <f>收入测算!E22*(业态参数!$Q$22+业态参数!$R$22+业态参数!$S$22)</f>
        <v/>
      </c>
      <c r="F22" s="65">
        <f>收入测算!F22*(业态参数!$Q$22+业态参数!$R$22+业态参数!$S$22)</f>
        <v/>
      </c>
      <c r="G22" s="65">
        <f>收入测算!G22*(业态参数!$Q$22+业态参数!$R$22+业态参数!$S$22)</f>
        <v/>
      </c>
      <c r="H22" s="65">
        <f>收入测算!H22*(业态参数!$Q$22+业态参数!$R$22+业态参数!$S$22)</f>
        <v/>
      </c>
      <c r="I22" s="65">
        <f>收入测算!I22*(业态参数!$Q$22+业态参数!$R$22+业态参数!$S$22)</f>
        <v/>
      </c>
      <c r="J22" s="65">
        <f>收入测算!J22*(业态参数!$Q$22+业态参数!$R$22+业态参数!$S$22)</f>
        <v/>
      </c>
      <c r="K22" s="65">
        <f>收入测算!K22*(业态参数!$Q$22+业态参数!$R$22+业态参数!$S$22)</f>
        <v/>
      </c>
      <c r="L22" s="65">
        <f>收入测算!L22*(业态参数!$Q$22+业态参数!$R$22+业态参数!$S$22)</f>
        <v/>
      </c>
      <c r="M22" s="65">
        <f>收入测算!M22*(业态参数!$Q$22+业态参数!$R$22+业态参数!$S$22)</f>
        <v/>
      </c>
      <c r="N22" s="65">
        <f>收入测算!N22*(业态参数!$Q$22+业态参数!$R$22+业态参数!$S$22)</f>
        <v/>
      </c>
      <c r="O22" s="65">
        <f>收入测算!O22*(业态参数!$Q$22+业态参数!$R$22+业态参数!$S$22)</f>
        <v/>
      </c>
      <c r="P22" s="65">
        <f>收入测算!P22*(业态参数!$Q$22+业态参数!$R$22+业态参数!$S$22)</f>
        <v/>
      </c>
      <c r="Q22" s="65">
        <f>收入测算!Q22*(业态参数!$Q$22+业态参数!$R$22+业态参数!$S$22)</f>
        <v/>
      </c>
      <c r="R22" s="65">
        <f>收入测算!R22*(业态参数!$Q$22+业态参数!$R$22+业态参数!$S$22)</f>
        <v/>
      </c>
      <c r="S22" s="65">
        <f>收入测算!S22*(业态参数!$Q$22+业态参数!$R$22+业态参数!$S$22)</f>
        <v/>
      </c>
      <c r="T22" s="65">
        <f>收入测算!T22*(业态参数!$Q$22+业态参数!$R$22+业态参数!$S$22)</f>
        <v/>
      </c>
      <c r="U22" s="65">
        <f>收入测算!U22*(业态参数!$Q$22+业态参数!$R$22+业态参数!$S$22)</f>
        <v/>
      </c>
      <c r="V22" s="19">
        <f>IF(收入测算!F22=0,0,(收入测算!F22-F22)/收入测算!F22)</f>
        <v/>
      </c>
    </row>
    <row r="23">
      <c r="A23" s="16" t="n">
        <v>19</v>
      </c>
      <c r="B23" s="8" t="inlineStr">
        <is>
          <t>园区交通</t>
        </is>
      </c>
      <c r="C23" s="60" t="inlineStr">
        <is>
          <t>自营</t>
        </is>
      </c>
      <c r="D23" s="64">
        <f>收入测算!D23*(业态参数!$Q$23+业态参数!$R$23+业态参数!$S$23)</f>
        <v/>
      </c>
      <c r="E23" s="64">
        <f>收入测算!E23*(业态参数!$Q$23+业态参数!$R$23+业态参数!$S$23)</f>
        <v/>
      </c>
      <c r="F23" s="65">
        <f>收入测算!F23*(业态参数!$Q$23+业态参数!$R$23+业态参数!$S$23)</f>
        <v/>
      </c>
      <c r="G23" s="65">
        <f>收入测算!G23*(业态参数!$Q$23+业态参数!$R$23+业态参数!$S$23)</f>
        <v/>
      </c>
      <c r="H23" s="65">
        <f>收入测算!H23*(业态参数!$Q$23+业态参数!$R$23+业态参数!$S$23)</f>
        <v/>
      </c>
      <c r="I23" s="65">
        <f>收入测算!I23*(业态参数!$Q$23+业态参数!$R$23+业态参数!$S$23)</f>
        <v/>
      </c>
      <c r="J23" s="65">
        <f>收入测算!J23*(业态参数!$Q$23+业态参数!$R$23+业态参数!$S$23)</f>
        <v/>
      </c>
      <c r="K23" s="65">
        <f>收入测算!K23*(业态参数!$Q$23+业态参数!$R$23+业态参数!$S$23)</f>
        <v/>
      </c>
      <c r="L23" s="65">
        <f>收入测算!L23*(业态参数!$Q$23+业态参数!$R$23+业态参数!$S$23)</f>
        <v/>
      </c>
      <c r="M23" s="65">
        <f>收入测算!M23*(业态参数!$Q$23+业态参数!$R$23+业态参数!$S$23)</f>
        <v/>
      </c>
      <c r="N23" s="65">
        <f>收入测算!N23*(业态参数!$Q$23+业态参数!$R$23+业态参数!$S$23)</f>
        <v/>
      </c>
      <c r="O23" s="65">
        <f>收入测算!O23*(业态参数!$Q$23+业态参数!$R$23+业态参数!$S$23)</f>
        <v/>
      </c>
      <c r="P23" s="65">
        <f>收入测算!P23*(业态参数!$Q$23+业态参数!$R$23+业态参数!$S$23)</f>
        <v/>
      </c>
      <c r="Q23" s="65">
        <f>收入测算!Q23*(业态参数!$Q$23+业态参数!$R$23+业态参数!$S$23)</f>
        <v/>
      </c>
      <c r="R23" s="65">
        <f>收入测算!R23*(业态参数!$Q$23+业态参数!$R$23+业态参数!$S$23)</f>
        <v/>
      </c>
      <c r="S23" s="65">
        <f>收入测算!S23*(业态参数!$Q$23+业态参数!$R$23+业态参数!$S$23)</f>
        <v/>
      </c>
      <c r="T23" s="65">
        <f>收入测算!T23*(业态参数!$Q$23+业态参数!$R$23+业态参数!$S$23)</f>
        <v/>
      </c>
      <c r="U23" s="65">
        <f>收入测算!U23*(业态参数!$Q$23+业态参数!$R$23+业态参数!$S$23)</f>
        <v/>
      </c>
      <c r="V23" s="19">
        <f>IF(收入测算!F23=0,0,(收入测算!F23-F23)/收入测算!F23)</f>
        <v/>
      </c>
    </row>
    <row r="24">
      <c r="A24" s="16" t="n">
        <v>20</v>
      </c>
      <c r="B24" s="8" t="inlineStr">
        <is>
          <t>红色研学/VR展馆</t>
        </is>
      </c>
      <c r="C24" s="60" t="inlineStr">
        <is>
          <t>自营</t>
        </is>
      </c>
      <c r="D24" s="64">
        <f>收入测算!D24*(业态参数!$Q$24+业态参数!$R$24+业态参数!$S$24)</f>
        <v/>
      </c>
      <c r="E24" s="64">
        <f>收入测算!E24*(业态参数!$Q$24+业态参数!$R$24+业态参数!$S$24)</f>
        <v/>
      </c>
      <c r="F24" s="65">
        <f>收入测算!F24*(业态参数!$Q$24+业态参数!$R$24+业态参数!$S$24)</f>
        <v/>
      </c>
      <c r="G24" s="65">
        <f>收入测算!G24*(业态参数!$Q$24+业态参数!$R$24+业态参数!$S$24)</f>
        <v/>
      </c>
      <c r="H24" s="65">
        <f>收入测算!H24*(业态参数!$Q$24+业态参数!$R$24+业态参数!$S$24)</f>
        <v/>
      </c>
      <c r="I24" s="65">
        <f>收入测算!I24*(业态参数!$Q$24+业态参数!$R$24+业态参数!$S$24)</f>
        <v/>
      </c>
      <c r="J24" s="65">
        <f>收入测算!J24*(业态参数!$Q$24+业态参数!$R$24+业态参数!$S$24)</f>
        <v/>
      </c>
      <c r="K24" s="65">
        <f>收入测算!K24*(业态参数!$Q$24+业态参数!$R$24+业态参数!$S$24)</f>
        <v/>
      </c>
      <c r="L24" s="65">
        <f>收入测算!L24*(业态参数!$Q$24+业态参数!$R$24+业态参数!$S$24)</f>
        <v/>
      </c>
      <c r="M24" s="65">
        <f>收入测算!M24*(业态参数!$Q$24+业态参数!$R$24+业态参数!$S$24)</f>
        <v/>
      </c>
      <c r="N24" s="65">
        <f>收入测算!N24*(业态参数!$Q$24+业态参数!$R$24+业态参数!$S$24)</f>
        <v/>
      </c>
      <c r="O24" s="65">
        <f>收入测算!O24*(业态参数!$Q$24+业态参数!$R$24+业态参数!$S$24)</f>
        <v/>
      </c>
      <c r="P24" s="65">
        <f>收入测算!P24*(业态参数!$Q$24+业态参数!$R$24+业态参数!$S$24)</f>
        <v/>
      </c>
      <c r="Q24" s="65">
        <f>收入测算!Q24*(业态参数!$Q$24+业态参数!$R$24+业态参数!$S$24)</f>
        <v/>
      </c>
      <c r="R24" s="65">
        <f>收入测算!R24*(业态参数!$Q$24+业态参数!$R$24+业态参数!$S$24)</f>
        <v/>
      </c>
      <c r="S24" s="65">
        <f>收入测算!S24*(业态参数!$Q$24+业态参数!$R$24+业态参数!$S$24)</f>
        <v/>
      </c>
      <c r="T24" s="65">
        <f>收入测算!T24*(业态参数!$Q$24+业态参数!$R$24+业态参数!$S$24)</f>
        <v/>
      </c>
      <c r="U24" s="65">
        <f>收入测算!U24*(业态参数!$Q$24+业态参数!$R$24+业态参数!$S$24)</f>
        <v/>
      </c>
      <c r="V24" s="19">
        <f>IF(收入测算!F24=0,0,(收入测算!F24-F24)/收入测算!F24)</f>
        <v/>
      </c>
    </row>
    <row r="25">
      <c r="A25" s="16" t="n">
        <v>21</v>
      </c>
      <c r="B25" s="8" t="inlineStr">
        <is>
          <t>夜游/主题灯光</t>
        </is>
      </c>
      <c r="C25" s="60" t="inlineStr">
        <is>
          <t>自营</t>
        </is>
      </c>
      <c r="D25" s="64">
        <f>收入测算!D25*(业态参数!$Q$25+业态参数!$R$25+业态参数!$S$25)</f>
        <v/>
      </c>
      <c r="E25" s="64">
        <f>收入测算!E25*(业态参数!$Q$25+业态参数!$R$25+业态参数!$S$25)</f>
        <v/>
      </c>
      <c r="F25" s="65">
        <f>收入测算!F25*(业态参数!$Q$25+业态参数!$R$25+业态参数!$S$25)</f>
        <v/>
      </c>
      <c r="G25" s="65">
        <f>收入测算!G25*(业态参数!$Q$25+业态参数!$R$25+业态参数!$S$25)</f>
        <v/>
      </c>
      <c r="H25" s="65">
        <f>收入测算!H25*(业态参数!$Q$25+业态参数!$R$25+业态参数!$S$25)</f>
        <v/>
      </c>
      <c r="I25" s="65">
        <f>收入测算!I25*(业态参数!$Q$25+业态参数!$R$25+业态参数!$S$25)</f>
        <v/>
      </c>
      <c r="J25" s="65">
        <f>收入测算!J25*(业态参数!$Q$25+业态参数!$R$25+业态参数!$S$25)</f>
        <v/>
      </c>
      <c r="K25" s="65">
        <f>收入测算!K25*(业态参数!$Q$25+业态参数!$R$25+业态参数!$S$25)</f>
        <v/>
      </c>
      <c r="L25" s="65">
        <f>收入测算!L25*(业态参数!$Q$25+业态参数!$R$25+业态参数!$S$25)</f>
        <v/>
      </c>
      <c r="M25" s="65">
        <f>收入测算!M25*(业态参数!$Q$25+业态参数!$R$25+业态参数!$S$25)</f>
        <v/>
      </c>
      <c r="N25" s="65">
        <f>收入测算!N25*(业态参数!$Q$25+业态参数!$R$25+业态参数!$S$25)</f>
        <v/>
      </c>
      <c r="O25" s="65">
        <f>收入测算!O25*(业态参数!$Q$25+业态参数!$R$25+业态参数!$S$25)</f>
        <v/>
      </c>
      <c r="P25" s="65">
        <f>收入测算!P25*(业态参数!$Q$25+业态参数!$R$25+业态参数!$S$25)</f>
        <v/>
      </c>
      <c r="Q25" s="65">
        <f>收入测算!Q25*(业态参数!$Q$25+业态参数!$R$25+业态参数!$S$25)</f>
        <v/>
      </c>
      <c r="R25" s="65">
        <f>收入测算!R25*(业态参数!$Q$25+业态参数!$R$25+业态参数!$S$25)</f>
        <v/>
      </c>
      <c r="S25" s="65">
        <f>收入测算!S25*(业态参数!$Q$25+业态参数!$R$25+业态参数!$S$25)</f>
        <v/>
      </c>
      <c r="T25" s="65">
        <f>收入测算!T25*(业态参数!$Q$25+业态参数!$R$25+业态参数!$S$25)</f>
        <v/>
      </c>
      <c r="U25" s="65">
        <f>收入测算!U25*(业态参数!$Q$25+业态参数!$R$25+业态参数!$S$25)</f>
        <v/>
      </c>
      <c r="V25" s="19">
        <f>IF(收入测算!F25=0,0,(收入测算!F25-F25)/收入测算!F25)</f>
        <v/>
      </c>
    </row>
    <row r="26">
      <c r="A26" s="16" t="n">
        <v>22</v>
      </c>
      <c r="B26" s="8" t="inlineStr">
        <is>
          <t>室内高尔夫</t>
        </is>
      </c>
      <c r="C26" s="58" t="inlineStr">
        <is>
          <t>联营</t>
        </is>
      </c>
      <c r="D26" s="64">
        <f>收入测算!D26*(业态参数!$Q$26+业态参数!$R$26+业态参数!$S$26)</f>
        <v/>
      </c>
      <c r="E26" s="64">
        <f>收入测算!E26*(业态参数!$Q$26+业态参数!$R$26+业态参数!$S$26)</f>
        <v/>
      </c>
      <c r="F26" s="65">
        <f>收入测算!F26*(业态参数!$Q$26+业态参数!$R$26+业态参数!$S$26)</f>
        <v/>
      </c>
      <c r="G26" s="65">
        <f>收入测算!G26*(业态参数!$Q$26+业态参数!$R$26+业态参数!$S$26)</f>
        <v/>
      </c>
      <c r="H26" s="65">
        <f>收入测算!H26*(业态参数!$Q$26+业态参数!$R$26+业态参数!$S$26)</f>
        <v/>
      </c>
      <c r="I26" s="65">
        <f>收入测算!I26*(业态参数!$Q$26+业态参数!$R$26+业态参数!$S$26)</f>
        <v/>
      </c>
      <c r="J26" s="65">
        <f>收入测算!J26*(业态参数!$Q$26+业态参数!$R$26+业态参数!$S$26)</f>
        <v/>
      </c>
      <c r="K26" s="65">
        <f>收入测算!K26*(业态参数!$Q$26+业态参数!$R$26+业态参数!$S$26)</f>
        <v/>
      </c>
      <c r="L26" s="65">
        <f>收入测算!L26*(业态参数!$Q$26+业态参数!$R$26+业态参数!$S$26)</f>
        <v/>
      </c>
      <c r="M26" s="65">
        <f>收入测算!M26*(业态参数!$Q$26+业态参数!$R$26+业态参数!$S$26)</f>
        <v/>
      </c>
      <c r="N26" s="65">
        <f>收入测算!N26*(业态参数!$Q$26+业态参数!$R$26+业态参数!$S$26)</f>
        <v/>
      </c>
      <c r="O26" s="65">
        <f>收入测算!O26*(业态参数!$Q$26+业态参数!$R$26+业态参数!$S$26)</f>
        <v/>
      </c>
      <c r="P26" s="65">
        <f>收入测算!P26*(业态参数!$Q$26+业态参数!$R$26+业态参数!$S$26)</f>
        <v/>
      </c>
      <c r="Q26" s="65">
        <f>收入测算!Q26*(业态参数!$Q$26+业态参数!$R$26+业态参数!$S$26)</f>
        <v/>
      </c>
      <c r="R26" s="65">
        <f>收入测算!R26*(业态参数!$Q$26+业态参数!$R$26+业态参数!$S$26)</f>
        <v/>
      </c>
      <c r="S26" s="65">
        <f>收入测算!S26*(业态参数!$Q$26+业态参数!$R$26+业态参数!$S$26)</f>
        <v/>
      </c>
      <c r="T26" s="65">
        <f>收入测算!T26*(业态参数!$Q$26+业态参数!$R$26+业态参数!$S$26)</f>
        <v/>
      </c>
      <c r="U26" s="65">
        <f>收入测算!U26*(业态参数!$Q$26+业态参数!$R$26+业态参数!$S$26)</f>
        <v/>
      </c>
      <c r="V26" s="19">
        <f>IF(收入测算!F26=0,0,(收入测算!F26-F26)/收入测算!F26)</f>
        <v/>
      </c>
    </row>
    <row r="27">
      <c r="A27" s="16" t="n">
        <v>23</v>
      </c>
      <c r="B27" s="8" t="inlineStr">
        <is>
          <t>花海摄影</t>
        </is>
      </c>
      <c r="C27" s="60" t="inlineStr">
        <is>
          <t>自营</t>
        </is>
      </c>
      <c r="D27" s="64">
        <f>收入测算!D27*(业态参数!$Q$27+业态参数!$R$27+业态参数!$S$27)</f>
        <v/>
      </c>
      <c r="E27" s="64">
        <f>收入测算!E27*(业态参数!$Q$27+业态参数!$R$27+业态参数!$S$27)</f>
        <v/>
      </c>
      <c r="F27" s="65">
        <f>收入测算!F27*(业态参数!$Q$27+业态参数!$R$27+业态参数!$S$27)</f>
        <v/>
      </c>
      <c r="G27" s="65">
        <f>收入测算!G27*(业态参数!$Q$27+业态参数!$R$27+业态参数!$S$27)</f>
        <v/>
      </c>
      <c r="H27" s="65">
        <f>收入测算!H27*(业态参数!$Q$27+业态参数!$R$27+业态参数!$S$27)</f>
        <v/>
      </c>
      <c r="I27" s="65">
        <f>收入测算!I27*(业态参数!$Q$27+业态参数!$R$27+业态参数!$S$27)</f>
        <v/>
      </c>
      <c r="J27" s="65">
        <f>收入测算!J27*(业态参数!$Q$27+业态参数!$R$27+业态参数!$S$27)</f>
        <v/>
      </c>
      <c r="K27" s="65">
        <f>收入测算!K27*(业态参数!$Q$27+业态参数!$R$27+业态参数!$S$27)</f>
        <v/>
      </c>
      <c r="L27" s="65">
        <f>收入测算!L27*(业态参数!$Q$27+业态参数!$R$27+业态参数!$S$27)</f>
        <v/>
      </c>
      <c r="M27" s="65">
        <f>收入测算!M27*(业态参数!$Q$27+业态参数!$R$27+业态参数!$S$27)</f>
        <v/>
      </c>
      <c r="N27" s="65">
        <f>收入测算!N27*(业态参数!$Q$27+业态参数!$R$27+业态参数!$S$27)</f>
        <v/>
      </c>
      <c r="O27" s="65">
        <f>收入测算!O27*(业态参数!$Q$27+业态参数!$R$27+业态参数!$S$27)</f>
        <v/>
      </c>
      <c r="P27" s="65">
        <f>收入测算!P27*(业态参数!$Q$27+业态参数!$R$27+业态参数!$S$27)</f>
        <v/>
      </c>
      <c r="Q27" s="65">
        <f>收入测算!Q27*(业态参数!$Q$27+业态参数!$R$27+业态参数!$S$27)</f>
        <v/>
      </c>
      <c r="R27" s="65">
        <f>收入测算!R27*(业态参数!$Q$27+业态参数!$R$27+业态参数!$S$27)</f>
        <v/>
      </c>
      <c r="S27" s="65">
        <f>收入测算!S27*(业态参数!$Q$27+业态参数!$R$27+业态参数!$S$27)</f>
        <v/>
      </c>
      <c r="T27" s="65">
        <f>收入测算!T27*(业态参数!$Q$27+业态参数!$R$27+业态参数!$S$27)</f>
        <v/>
      </c>
      <c r="U27" s="65">
        <f>收入测算!U27*(业态参数!$Q$27+业态参数!$R$27+业态参数!$S$27)</f>
        <v/>
      </c>
      <c r="V27" s="19">
        <f>IF(收入测算!F27=0,0,(收入测算!F27-F27)/收入测算!F27)</f>
        <v/>
      </c>
    </row>
    <row r="28">
      <c r="A28" s="16" t="n">
        <v>24</v>
      </c>
      <c r="B28" s="8" t="inlineStr">
        <is>
          <t>冬季抗联及戏雪</t>
        </is>
      </c>
      <c r="C28" s="58" t="inlineStr">
        <is>
          <t>联营</t>
        </is>
      </c>
      <c r="D28" s="64">
        <f>收入测算!D28*(业态参数!$Q$28+业态参数!$R$28+业态参数!$S$28)</f>
        <v/>
      </c>
      <c r="E28" s="64">
        <f>收入测算!E28*(业态参数!$Q$28+业态参数!$R$28+业态参数!$S$28)</f>
        <v/>
      </c>
      <c r="F28" s="65">
        <f>收入测算!F28*(业态参数!$Q$28+业态参数!$R$28+业态参数!$S$28)</f>
        <v/>
      </c>
      <c r="G28" s="65">
        <f>收入测算!G28*(业态参数!$Q$28+业态参数!$R$28+业态参数!$S$28)</f>
        <v/>
      </c>
      <c r="H28" s="65">
        <f>收入测算!H28*(业态参数!$Q$28+业态参数!$R$28+业态参数!$S$28)</f>
        <v/>
      </c>
      <c r="I28" s="65">
        <f>收入测算!I28*(业态参数!$Q$28+业态参数!$R$28+业态参数!$S$28)</f>
        <v/>
      </c>
      <c r="J28" s="65">
        <f>收入测算!J28*(业态参数!$Q$28+业态参数!$R$28+业态参数!$S$28)</f>
        <v/>
      </c>
      <c r="K28" s="65">
        <f>收入测算!K28*(业态参数!$Q$28+业态参数!$R$28+业态参数!$S$28)</f>
        <v/>
      </c>
      <c r="L28" s="65">
        <f>收入测算!L28*(业态参数!$Q$28+业态参数!$R$28+业态参数!$S$28)</f>
        <v/>
      </c>
      <c r="M28" s="65">
        <f>收入测算!M28*(业态参数!$Q$28+业态参数!$R$28+业态参数!$S$28)</f>
        <v/>
      </c>
      <c r="N28" s="65">
        <f>收入测算!N28*(业态参数!$Q$28+业态参数!$R$28+业态参数!$S$28)</f>
        <v/>
      </c>
      <c r="O28" s="65">
        <f>收入测算!O28*(业态参数!$Q$28+业态参数!$R$28+业态参数!$S$28)</f>
        <v/>
      </c>
      <c r="P28" s="65">
        <f>收入测算!P28*(业态参数!$Q$28+业态参数!$R$28+业态参数!$S$28)</f>
        <v/>
      </c>
      <c r="Q28" s="65">
        <f>收入测算!Q28*(业态参数!$Q$28+业态参数!$R$28+业态参数!$S$28)</f>
        <v/>
      </c>
      <c r="R28" s="65">
        <f>收入测算!R28*(业态参数!$Q$28+业态参数!$R$28+业态参数!$S$28)</f>
        <v/>
      </c>
      <c r="S28" s="65">
        <f>收入测算!S28*(业态参数!$Q$28+业态参数!$R$28+业态参数!$S$28)</f>
        <v/>
      </c>
      <c r="T28" s="65">
        <f>收入测算!T28*(业态参数!$Q$28+业态参数!$R$28+业态参数!$S$28)</f>
        <v/>
      </c>
      <c r="U28" s="65">
        <f>收入测算!U28*(业态参数!$Q$28+业态参数!$R$28+业态参数!$S$28)</f>
        <v/>
      </c>
      <c r="V28" s="19">
        <f>IF(收入测算!F28=0,0,(收入测算!F28-F28)/收入测算!F28)</f>
        <v/>
      </c>
    </row>
    <row r="29">
      <c r="A29" s="16" t="n">
        <v>25</v>
      </c>
      <c r="B29" s="8" t="inlineStr">
        <is>
          <t>动物零食售卖</t>
        </is>
      </c>
      <c r="C29" s="60" t="inlineStr">
        <is>
          <t>自营</t>
        </is>
      </c>
      <c r="D29" s="64">
        <f>收入测算!D29*(业态参数!$Q$29+业态参数!$R$29+业态参数!$S$29)</f>
        <v/>
      </c>
      <c r="E29" s="64">
        <f>收入测算!E29*(业态参数!$Q$29+业态参数!$R$29+业态参数!$S$29)</f>
        <v/>
      </c>
      <c r="F29" s="65">
        <f>收入测算!F29*(业态参数!$Q$29+业态参数!$R$29+业态参数!$S$29)</f>
        <v/>
      </c>
      <c r="G29" s="65">
        <f>收入测算!G29*(业态参数!$Q$29+业态参数!$R$29+业态参数!$S$29)</f>
        <v/>
      </c>
      <c r="H29" s="65">
        <f>收入测算!H29*(业态参数!$Q$29+业态参数!$R$29+业态参数!$S$29)</f>
        <v/>
      </c>
      <c r="I29" s="65">
        <f>收入测算!I29*(业态参数!$Q$29+业态参数!$R$29+业态参数!$S$29)</f>
        <v/>
      </c>
      <c r="J29" s="65">
        <f>收入测算!J29*(业态参数!$Q$29+业态参数!$R$29+业态参数!$S$29)</f>
        <v/>
      </c>
      <c r="K29" s="65">
        <f>收入测算!K29*(业态参数!$Q$29+业态参数!$R$29+业态参数!$S$29)</f>
        <v/>
      </c>
      <c r="L29" s="65">
        <f>收入测算!L29*(业态参数!$Q$29+业态参数!$R$29+业态参数!$S$29)</f>
        <v/>
      </c>
      <c r="M29" s="65">
        <f>收入测算!M29*(业态参数!$Q$29+业态参数!$R$29+业态参数!$S$29)</f>
        <v/>
      </c>
      <c r="N29" s="65">
        <f>收入测算!N29*(业态参数!$Q$29+业态参数!$R$29+业态参数!$S$29)</f>
        <v/>
      </c>
      <c r="O29" s="65">
        <f>收入测算!O29*(业态参数!$Q$29+业态参数!$R$29+业态参数!$S$29)</f>
        <v/>
      </c>
      <c r="P29" s="65">
        <f>收入测算!P29*(业态参数!$Q$29+业态参数!$R$29+业态参数!$S$29)</f>
        <v/>
      </c>
      <c r="Q29" s="65">
        <f>收入测算!Q29*(业态参数!$Q$29+业态参数!$R$29+业态参数!$S$29)</f>
        <v/>
      </c>
      <c r="R29" s="65">
        <f>收入测算!R29*(业态参数!$Q$29+业态参数!$R$29+业态参数!$S$29)</f>
        <v/>
      </c>
      <c r="S29" s="65">
        <f>收入测算!S29*(业态参数!$Q$29+业态参数!$R$29+业态参数!$S$29)</f>
        <v/>
      </c>
      <c r="T29" s="65">
        <f>收入测算!T29*(业态参数!$Q$29+业态参数!$R$29+业态参数!$S$29)</f>
        <v/>
      </c>
      <c r="U29" s="65">
        <f>收入测算!U29*(业态参数!$Q$29+业态参数!$R$29+业态参数!$S$29)</f>
        <v/>
      </c>
      <c r="V29" s="19">
        <f>IF(收入测算!F29=0,0,(收入测算!F29-F29)/收入测算!F29)</f>
        <v/>
      </c>
    </row>
    <row r="30">
      <c r="A30" s="16" t="n">
        <v>26</v>
      </c>
      <c r="B30" s="8" t="inlineStr">
        <is>
          <t>南入口停车场</t>
        </is>
      </c>
      <c r="C30" s="60" t="inlineStr">
        <is>
          <t>自营</t>
        </is>
      </c>
      <c r="D30" s="64">
        <f>收入测算!D30*(业态参数!$Q$30+业态参数!$R$30+业态参数!$S$30)</f>
        <v/>
      </c>
      <c r="E30" s="64">
        <f>收入测算!E30*(业态参数!$Q$30+业态参数!$R$30+业态参数!$S$30)</f>
        <v/>
      </c>
      <c r="F30" s="65">
        <f>收入测算!F30*(业态参数!$Q$30+业态参数!$R$30+业态参数!$S$30)</f>
        <v/>
      </c>
      <c r="G30" s="65">
        <f>收入测算!G30*(业态参数!$Q$30+业态参数!$R$30+业态参数!$S$30)</f>
        <v/>
      </c>
      <c r="H30" s="65">
        <f>收入测算!H30*(业态参数!$Q$30+业态参数!$R$30+业态参数!$S$30)</f>
        <v/>
      </c>
      <c r="I30" s="65">
        <f>收入测算!I30*(业态参数!$Q$30+业态参数!$R$30+业态参数!$S$30)</f>
        <v/>
      </c>
      <c r="J30" s="65">
        <f>收入测算!J30*(业态参数!$Q$30+业态参数!$R$30+业态参数!$S$30)</f>
        <v/>
      </c>
      <c r="K30" s="65">
        <f>收入测算!K30*(业态参数!$Q$30+业态参数!$R$30+业态参数!$S$30)</f>
        <v/>
      </c>
      <c r="L30" s="65">
        <f>收入测算!L30*(业态参数!$Q$30+业态参数!$R$30+业态参数!$S$30)</f>
        <v/>
      </c>
      <c r="M30" s="65">
        <f>收入测算!M30*(业态参数!$Q$30+业态参数!$R$30+业态参数!$S$30)</f>
        <v/>
      </c>
      <c r="N30" s="65">
        <f>收入测算!N30*(业态参数!$Q$30+业态参数!$R$30+业态参数!$S$30)</f>
        <v/>
      </c>
      <c r="O30" s="65">
        <f>收入测算!O30*(业态参数!$Q$30+业态参数!$R$30+业态参数!$S$30)</f>
        <v/>
      </c>
      <c r="P30" s="65">
        <f>收入测算!P30*(业态参数!$Q$30+业态参数!$R$30+业态参数!$S$30)</f>
        <v/>
      </c>
      <c r="Q30" s="65">
        <f>收入测算!Q30*(业态参数!$Q$30+业态参数!$R$30+业态参数!$S$30)</f>
        <v/>
      </c>
      <c r="R30" s="65">
        <f>收入测算!R30*(业态参数!$Q$30+业态参数!$R$30+业态参数!$S$30)</f>
        <v/>
      </c>
      <c r="S30" s="65">
        <f>收入测算!S30*(业态参数!$Q$30+业态参数!$R$30+业态参数!$S$30)</f>
        <v/>
      </c>
      <c r="T30" s="65">
        <f>收入测算!T30*(业态参数!$Q$30+业态参数!$R$30+业态参数!$S$30)</f>
        <v/>
      </c>
      <c r="U30" s="65">
        <f>收入测算!U30*(业态参数!$Q$30+业态参数!$R$30+业态参数!$S$30)</f>
        <v/>
      </c>
      <c r="V30" s="19">
        <f>IF(收入测算!F30=0,0,(收入测算!F30-F30)/收入测算!F30)</f>
        <v/>
      </c>
    </row>
    <row r="31">
      <c r="A31" s="16" t="n">
        <v>27</v>
      </c>
      <c r="B31" s="8" t="inlineStr">
        <is>
          <t>健身区档期出租</t>
        </is>
      </c>
      <c r="C31" s="30" t="inlineStr">
        <is>
          <t>出租</t>
        </is>
      </c>
      <c r="D31" s="64">
        <f>收入测算!D31*(业态参数!$Q$31+业态参数!$R$31+业态参数!$S$31)</f>
        <v/>
      </c>
      <c r="E31" s="64">
        <f>收入测算!E31*(业态参数!$Q$31+业态参数!$R$31+业态参数!$S$31)</f>
        <v/>
      </c>
      <c r="F31" s="65">
        <f>收入测算!F31*(业态参数!$Q$31+业态参数!$R$31+业态参数!$S$31)</f>
        <v/>
      </c>
      <c r="G31" s="65">
        <f>收入测算!G31*(业态参数!$Q$31+业态参数!$R$31+业态参数!$S$31)</f>
        <v/>
      </c>
      <c r="H31" s="65">
        <f>收入测算!H31*(业态参数!$Q$31+业态参数!$R$31+业态参数!$S$31)</f>
        <v/>
      </c>
      <c r="I31" s="65">
        <f>收入测算!I31*(业态参数!$Q$31+业态参数!$R$31+业态参数!$S$31)</f>
        <v/>
      </c>
      <c r="J31" s="65">
        <f>收入测算!J31*(业态参数!$Q$31+业态参数!$R$31+业态参数!$S$31)</f>
        <v/>
      </c>
      <c r="K31" s="65">
        <f>收入测算!K31*(业态参数!$Q$31+业态参数!$R$31+业态参数!$S$31)</f>
        <v/>
      </c>
      <c r="L31" s="65">
        <f>收入测算!L31*(业态参数!$Q$31+业态参数!$R$31+业态参数!$S$31)</f>
        <v/>
      </c>
      <c r="M31" s="65">
        <f>收入测算!M31*(业态参数!$Q$31+业态参数!$R$31+业态参数!$S$31)</f>
        <v/>
      </c>
      <c r="N31" s="65">
        <f>收入测算!N31*(业态参数!$Q$31+业态参数!$R$31+业态参数!$S$31)</f>
        <v/>
      </c>
      <c r="O31" s="65">
        <f>收入测算!O31*(业态参数!$Q$31+业态参数!$R$31+业态参数!$S$31)</f>
        <v/>
      </c>
      <c r="P31" s="65">
        <f>收入测算!P31*(业态参数!$Q$31+业态参数!$R$31+业态参数!$S$31)</f>
        <v/>
      </c>
      <c r="Q31" s="65">
        <f>收入测算!Q31*(业态参数!$Q$31+业态参数!$R$31+业态参数!$S$31)</f>
        <v/>
      </c>
      <c r="R31" s="65">
        <f>收入测算!R31*(业态参数!$Q$31+业态参数!$R$31+业态参数!$S$31)</f>
        <v/>
      </c>
      <c r="S31" s="65">
        <f>收入测算!S31*(业态参数!$Q$31+业态参数!$R$31+业态参数!$S$31)</f>
        <v/>
      </c>
      <c r="T31" s="65">
        <f>收入测算!T31*(业态参数!$Q$31+业态参数!$R$31+业态参数!$S$31)</f>
        <v/>
      </c>
      <c r="U31" s="65">
        <f>收入测算!U31*(业态参数!$Q$31+业态参数!$R$31+业态参数!$S$31)</f>
        <v/>
      </c>
      <c r="V31" s="19">
        <f>IF(收入测算!F31=0,0,(收入测算!F31-F31)/收入测算!F31)</f>
        <v/>
      </c>
    </row>
    <row r="32">
      <c r="A32" s="16" t="n">
        <v>28</v>
      </c>
      <c r="B32" s="8" t="inlineStr">
        <is>
          <t>林学科普衍生品</t>
        </is>
      </c>
      <c r="C32" s="60" t="inlineStr">
        <is>
          <t>自营</t>
        </is>
      </c>
      <c r="D32" s="64">
        <f>收入测算!D32*(业态参数!$Q$32+业态参数!$R$32+业态参数!$S$32)</f>
        <v/>
      </c>
      <c r="E32" s="64">
        <f>收入测算!E32*(业态参数!$Q$32+业态参数!$R$32+业态参数!$S$32)</f>
        <v/>
      </c>
      <c r="F32" s="65">
        <f>收入测算!F32*(业态参数!$Q$32+业态参数!$R$32+业态参数!$S$32)</f>
        <v/>
      </c>
      <c r="G32" s="65">
        <f>收入测算!G32*(业态参数!$Q$32+业态参数!$R$32+业态参数!$S$32)</f>
        <v/>
      </c>
      <c r="H32" s="65">
        <f>收入测算!H32*(业态参数!$Q$32+业态参数!$R$32+业态参数!$S$32)</f>
        <v/>
      </c>
      <c r="I32" s="65">
        <f>收入测算!I32*(业态参数!$Q$32+业态参数!$R$32+业态参数!$S$32)</f>
        <v/>
      </c>
      <c r="J32" s="65">
        <f>收入测算!J32*(业态参数!$Q$32+业态参数!$R$32+业态参数!$S$32)</f>
        <v/>
      </c>
      <c r="K32" s="65">
        <f>收入测算!K32*(业态参数!$Q$32+业态参数!$R$32+业态参数!$S$32)</f>
        <v/>
      </c>
      <c r="L32" s="65">
        <f>收入测算!L32*(业态参数!$Q$32+业态参数!$R$32+业态参数!$S$32)</f>
        <v/>
      </c>
      <c r="M32" s="65">
        <f>收入测算!M32*(业态参数!$Q$32+业态参数!$R$32+业态参数!$S$32)</f>
        <v/>
      </c>
      <c r="N32" s="65">
        <f>收入测算!N32*(业态参数!$Q$32+业态参数!$R$32+业态参数!$S$32)</f>
        <v/>
      </c>
      <c r="O32" s="65">
        <f>收入测算!O32*(业态参数!$Q$32+业态参数!$R$32+业态参数!$S$32)</f>
        <v/>
      </c>
      <c r="P32" s="65">
        <f>收入测算!P32*(业态参数!$Q$32+业态参数!$R$32+业态参数!$S$32)</f>
        <v/>
      </c>
      <c r="Q32" s="65">
        <f>收入测算!Q32*(业态参数!$Q$32+业态参数!$R$32+业态参数!$S$32)</f>
        <v/>
      </c>
      <c r="R32" s="65">
        <f>收入测算!R32*(业态参数!$Q$32+业态参数!$R$32+业态参数!$S$32)</f>
        <v/>
      </c>
      <c r="S32" s="65">
        <f>收入测算!S32*(业态参数!$Q$32+业态参数!$R$32+业态参数!$S$32)</f>
        <v/>
      </c>
      <c r="T32" s="65">
        <f>收入测算!T32*(业态参数!$Q$32+业态参数!$R$32+业态参数!$S$32)</f>
        <v/>
      </c>
      <c r="U32" s="65">
        <f>收入测算!U32*(业态参数!$Q$32+业态参数!$R$32+业态参数!$S$32)</f>
        <v/>
      </c>
      <c r="V32" s="19">
        <f>IF(收入测算!F32=0,0,(收入测算!F32-F32)/收入测算!F32)</f>
        <v/>
      </c>
    </row>
    <row r="33">
      <c r="A33" s="16" t="n">
        <v>29</v>
      </c>
      <c r="B33" s="8" t="inlineStr">
        <is>
          <t>茶屋氧吧销售分成</t>
        </is>
      </c>
      <c r="C33" s="58" t="inlineStr">
        <is>
          <t>联营</t>
        </is>
      </c>
      <c r="D33" s="64">
        <f>收入测算!D33*(业态参数!$Q$33+业态参数!$R$33+业态参数!$S$33)</f>
        <v/>
      </c>
      <c r="E33" s="64">
        <f>收入测算!E33*(业态参数!$Q$33+业态参数!$R$33+业态参数!$S$33)</f>
        <v/>
      </c>
      <c r="F33" s="65">
        <f>收入测算!F33*(业态参数!$Q$33+业态参数!$R$33+业态参数!$S$33)</f>
        <v/>
      </c>
      <c r="G33" s="65">
        <f>收入测算!G33*(业态参数!$Q$33+业态参数!$R$33+业态参数!$S$33)</f>
        <v/>
      </c>
      <c r="H33" s="65">
        <f>收入测算!H33*(业态参数!$Q$33+业态参数!$R$33+业态参数!$S$33)</f>
        <v/>
      </c>
      <c r="I33" s="65">
        <f>收入测算!I33*(业态参数!$Q$33+业态参数!$R$33+业态参数!$S$33)</f>
        <v/>
      </c>
      <c r="J33" s="65">
        <f>收入测算!J33*(业态参数!$Q$33+业态参数!$R$33+业态参数!$S$33)</f>
        <v/>
      </c>
      <c r="K33" s="65">
        <f>收入测算!K33*(业态参数!$Q$33+业态参数!$R$33+业态参数!$S$33)</f>
        <v/>
      </c>
      <c r="L33" s="65">
        <f>收入测算!L33*(业态参数!$Q$33+业态参数!$R$33+业态参数!$S$33)</f>
        <v/>
      </c>
      <c r="M33" s="65">
        <f>收入测算!M33*(业态参数!$Q$33+业态参数!$R$33+业态参数!$S$33)</f>
        <v/>
      </c>
      <c r="N33" s="65">
        <f>收入测算!N33*(业态参数!$Q$33+业态参数!$R$33+业态参数!$S$33)</f>
        <v/>
      </c>
      <c r="O33" s="65">
        <f>收入测算!O33*(业态参数!$Q$33+业态参数!$R$33+业态参数!$S$33)</f>
        <v/>
      </c>
      <c r="P33" s="65">
        <f>收入测算!P33*(业态参数!$Q$33+业态参数!$R$33+业态参数!$S$33)</f>
        <v/>
      </c>
      <c r="Q33" s="65">
        <f>收入测算!Q33*(业态参数!$Q$33+业态参数!$R$33+业态参数!$S$33)</f>
        <v/>
      </c>
      <c r="R33" s="65">
        <f>收入测算!R33*(业态参数!$Q$33+业态参数!$R$33+业态参数!$S$33)</f>
        <v/>
      </c>
      <c r="S33" s="65">
        <f>收入测算!S33*(业态参数!$Q$33+业态参数!$R$33+业态参数!$S$33)</f>
        <v/>
      </c>
      <c r="T33" s="65">
        <f>收入测算!T33*(业态参数!$Q$33+业态参数!$R$33+业态参数!$S$33)</f>
        <v/>
      </c>
      <c r="U33" s="65">
        <f>收入测算!U33*(业态参数!$Q$33+业态参数!$R$33+业态参数!$S$33)</f>
        <v/>
      </c>
      <c r="V33" s="19">
        <f>IF(收入测算!F33=0,0,(收入测算!F33-F33)/收入测算!F33)</f>
        <v/>
      </c>
    </row>
    <row r="34">
      <c r="A34" s="16" t="n">
        <v>30</v>
      </c>
      <c r="B34" s="8" t="inlineStr">
        <is>
          <t>栈道观景打卡</t>
        </is>
      </c>
      <c r="C34" s="60" t="inlineStr">
        <is>
          <t>自营</t>
        </is>
      </c>
      <c r="D34" s="64">
        <f>收入测算!D34*(业态参数!$Q$34+业态参数!$R$34+业态参数!$S$34)</f>
        <v/>
      </c>
      <c r="E34" s="64">
        <f>收入测算!E34*(业态参数!$Q$34+业态参数!$R$34+业态参数!$S$34)</f>
        <v/>
      </c>
      <c r="F34" s="65">
        <f>收入测算!F34*(业态参数!$Q$34+业态参数!$R$34+业态参数!$S$34)</f>
        <v/>
      </c>
      <c r="G34" s="65">
        <f>收入测算!G34*(业态参数!$Q$34+业态参数!$R$34+业态参数!$S$34)</f>
        <v/>
      </c>
      <c r="H34" s="65">
        <f>收入测算!H34*(业态参数!$Q$34+业态参数!$R$34+业态参数!$S$34)</f>
        <v/>
      </c>
      <c r="I34" s="65">
        <f>收入测算!I34*(业态参数!$Q$34+业态参数!$R$34+业态参数!$S$34)</f>
        <v/>
      </c>
      <c r="J34" s="65">
        <f>收入测算!J34*(业态参数!$Q$34+业态参数!$R$34+业态参数!$S$34)</f>
        <v/>
      </c>
      <c r="K34" s="65">
        <f>收入测算!K34*(业态参数!$Q$34+业态参数!$R$34+业态参数!$S$34)</f>
        <v/>
      </c>
      <c r="L34" s="65">
        <f>收入测算!L34*(业态参数!$Q$34+业态参数!$R$34+业态参数!$S$34)</f>
        <v/>
      </c>
      <c r="M34" s="65">
        <f>收入测算!M34*(业态参数!$Q$34+业态参数!$R$34+业态参数!$S$34)</f>
        <v/>
      </c>
      <c r="N34" s="65">
        <f>收入测算!N34*(业态参数!$Q$34+业态参数!$R$34+业态参数!$S$34)</f>
        <v/>
      </c>
      <c r="O34" s="65">
        <f>收入测算!O34*(业态参数!$Q$34+业态参数!$R$34+业态参数!$S$34)</f>
        <v/>
      </c>
      <c r="P34" s="65">
        <f>收入测算!P34*(业态参数!$Q$34+业态参数!$R$34+业态参数!$S$34)</f>
        <v/>
      </c>
      <c r="Q34" s="65">
        <f>收入测算!Q34*(业态参数!$Q$34+业态参数!$R$34+业态参数!$S$34)</f>
        <v/>
      </c>
      <c r="R34" s="65">
        <f>收入测算!R34*(业态参数!$Q$34+业态参数!$R$34+业态参数!$S$34)</f>
        <v/>
      </c>
      <c r="S34" s="65">
        <f>收入测算!S34*(业态参数!$Q$34+业态参数!$R$34+业态参数!$S$34)</f>
        <v/>
      </c>
      <c r="T34" s="65">
        <f>收入测算!T34*(业态参数!$Q$34+业态参数!$R$34+业态参数!$S$34)</f>
        <v/>
      </c>
      <c r="U34" s="65">
        <f>收入测算!U34*(业态参数!$Q$34+业态参数!$R$34+业态参数!$S$34)</f>
        <v/>
      </c>
      <c r="V34" s="19">
        <f>IF(收入测算!F34=0,0,(收入测算!F34-F34)/收入测算!F34)</f>
        <v/>
      </c>
    </row>
    <row r="35">
      <c r="B35" s="25" t="inlineStr">
        <is>
          <t>自营+联营协助人力（编制表一次计入）</t>
        </is>
      </c>
      <c r="C35" s="60" t="inlineStr">
        <is>
          <t>自营</t>
        </is>
      </c>
      <c r="D35" s="70">
        <f>IF('06人流模型'!B6&lt;=0,0,人力编制!B36+人力编制!B37)</f>
        <v/>
      </c>
      <c r="E35" s="70">
        <f>IF('06人流模型'!C6&lt;=0,0,人力编制!B36+人力编制!B37)</f>
        <v/>
      </c>
      <c r="F35" s="70">
        <f>IF('06人流模型'!D6&lt;=0,0,人力编制!B36+人力编制!B37)</f>
        <v/>
      </c>
      <c r="G35" s="70">
        <f>IF('06人流模型'!E6&lt;=0,0,人力编制!B36+人力编制!B37)</f>
        <v/>
      </c>
      <c r="H35" s="70">
        <f>IF('06人流模型'!F6&lt;=0,0,人力编制!B36+人力编制!B37)</f>
        <v/>
      </c>
      <c r="I35" s="70">
        <f>IF('06人流模型'!G6&lt;=0,0,人力编制!B36+人力编制!B37)</f>
        <v/>
      </c>
      <c r="J35" s="70">
        <f>IF('06人流模型'!H6&lt;=0,0,人力编制!B36+人力编制!B37)</f>
        <v/>
      </c>
      <c r="K35" s="70">
        <f>IF('06人流模型'!I6&lt;=0,0,人力编制!B36+人力编制!B37)</f>
        <v/>
      </c>
      <c r="L35" s="70">
        <f>IF('06人流模型'!J6&lt;=0,0,人力编制!B36+人力编制!B37)</f>
        <v/>
      </c>
      <c r="M35" s="70">
        <f>IF('06人流模型'!K6&lt;=0,0,人力编制!B36+人力编制!B37)</f>
        <v/>
      </c>
      <c r="N35" s="70">
        <f>IF('06人流模型'!L6&lt;=0,0,人力编制!B36+人力编制!B37)</f>
        <v/>
      </c>
      <c r="O35" s="70">
        <f>IF('06人流模型'!M6&lt;=0,0,人力编制!B36+人力编制!B37)</f>
        <v/>
      </c>
      <c r="P35" s="70">
        <f>IF('06人流模型'!N6&lt;=0,0,人力编制!B36+人力编制!B37)</f>
        <v/>
      </c>
      <c r="Q35" s="70">
        <f>IF('06人流模型'!O6&lt;=0,0,人力编制!B36+人力编制!B37)</f>
        <v/>
      </c>
      <c r="R35" s="70">
        <f>IF('06人流模型'!P6&lt;=0,0,人力编制!B36+人力编制!B37)</f>
        <v/>
      </c>
      <c r="S35" s="70">
        <f>IF('06人流模型'!Q6&lt;=0,0,人力编制!B36+人力编制!B37)</f>
        <v/>
      </c>
      <c r="T35" s="70">
        <f>IF('06人流模型'!R6&lt;=0,0,人力编制!B36+人力编制!B37)</f>
        <v/>
      </c>
      <c r="U35" s="70">
        <f>IF('06人流模型'!S6&lt;=0,0,人力编制!B36+人力编制!B37)</f>
        <v/>
      </c>
    </row>
    <row r="37">
      <c r="B37" s="13" t="inlineStr">
        <is>
          <t>公共人力</t>
        </is>
      </c>
      <c r="D37" s="75">
        <f>IF('06人流模型'!B6&lt;=0,0,人力编制!B34)</f>
        <v/>
      </c>
      <c r="E37" s="75">
        <f>IF('06人流模型'!C6&lt;=0,0,人力编制!B34)</f>
        <v/>
      </c>
      <c r="F37" s="18">
        <f>IF('06人流模型'!D6&lt;=0,0,人力编制!B34)</f>
        <v/>
      </c>
      <c r="G37" s="18">
        <f>IF('06人流模型'!E6&lt;=0,0,人力编制!B34)</f>
        <v/>
      </c>
      <c r="H37" s="18">
        <f>IF('06人流模型'!F6&lt;=0,0,人力编制!B34)</f>
        <v/>
      </c>
      <c r="I37" s="18">
        <f>IF('06人流模型'!G6&lt;=0,0,人力编制!B34)</f>
        <v/>
      </c>
      <c r="J37" s="18">
        <f>IF('06人流模型'!H6&lt;=0,0,人力编制!B34)</f>
        <v/>
      </c>
      <c r="K37" s="18">
        <f>IF('06人流模型'!I6&lt;=0,0,人力编制!B34)</f>
        <v/>
      </c>
      <c r="L37" s="18">
        <f>IF('06人流模型'!J6&lt;=0,0,人力编制!B34)</f>
        <v/>
      </c>
      <c r="M37" s="18">
        <f>IF('06人流模型'!K6&lt;=0,0,人力编制!B34)</f>
        <v/>
      </c>
      <c r="N37" s="18">
        <f>IF('06人流模型'!L6&lt;=0,0,人力编制!B34)</f>
        <v/>
      </c>
      <c r="O37" s="18">
        <f>IF('06人流模型'!M6&lt;=0,0,人力编制!B34)</f>
        <v/>
      </c>
      <c r="P37" s="18">
        <f>IF('06人流模型'!N6&lt;=0,0,人力编制!B34)</f>
        <v/>
      </c>
      <c r="Q37" s="18">
        <f>IF('06人流模型'!O6&lt;=0,0,人力编制!B34)</f>
        <v/>
      </c>
      <c r="R37" s="18">
        <f>IF('06人流模型'!P6&lt;=0,0,人力编制!B34)</f>
        <v/>
      </c>
      <c r="S37" s="18">
        <f>IF('06人流模型'!Q6&lt;=0,0,人力编制!B34)</f>
        <v/>
      </c>
      <c r="T37" s="18">
        <f>IF('06人流模型'!R6&lt;=0,0,人力编制!B34)</f>
        <v/>
      </c>
      <c r="U37" s="18">
        <f>IF('06人流模型'!S6&lt;=0,0,人力编制!B34)</f>
        <v/>
      </c>
    </row>
    <row r="38">
      <c r="B38" s="11" t="inlineStr">
        <is>
          <t>公共水电</t>
        </is>
      </c>
      <c r="D38" s="75">
        <f>IF('06人流模型'!B6&lt;=0,0,业态参数!$B$56*'06人流模型'!B6/75)</f>
        <v/>
      </c>
      <c r="E38" s="75">
        <f>IF('06人流模型'!C6&lt;=0,0,业态参数!$B$56*'06人流模型'!C6/75)</f>
        <v/>
      </c>
      <c r="F38" s="18">
        <f>IF('06人流模型'!D6&lt;=0,0,业态参数!$B$56*'06人流模型'!D6/75)</f>
        <v/>
      </c>
      <c r="G38" s="18">
        <f>IF('06人流模型'!E6&lt;=0,0,业态参数!$B$56*'06人流模型'!E6/75)</f>
        <v/>
      </c>
      <c r="H38" s="18">
        <f>IF('06人流模型'!F6&lt;=0,0,业态参数!$B$56*'06人流模型'!F6/75)</f>
        <v/>
      </c>
      <c r="I38" s="18">
        <f>IF('06人流模型'!G6&lt;=0,0,业态参数!$B$56*'06人流模型'!G6/75)</f>
        <v/>
      </c>
      <c r="J38" s="18">
        <f>IF('06人流模型'!H6&lt;=0,0,业态参数!$B$56*'06人流模型'!H6/75)</f>
        <v/>
      </c>
      <c r="K38" s="18">
        <f>IF('06人流模型'!I6&lt;=0,0,业态参数!$B$56*'06人流模型'!I6/75)</f>
        <v/>
      </c>
      <c r="L38" s="18">
        <f>IF('06人流模型'!J6&lt;=0,0,业态参数!$B$56*'06人流模型'!J6/75)</f>
        <v/>
      </c>
      <c r="M38" s="18">
        <f>IF('06人流模型'!K6&lt;=0,0,业态参数!$B$56*'06人流模型'!K6/75)</f>
        <v/>
      </c>
      <c r="N38" s="18">
        <f>IF('06人流模型'!L6&lt;=0,0,业态参数!$B$56*'06人流模型'!L6/75)</f>
        <v/>
      </c>
      <c r="O38" s="18">
        <f>IF('06人流模型'!M6&lt;=0,0,业态参数!$B$56*'06人流模型'!M6/75)</f>
        <v/>
      </c>
      <c r="P38" s="18">
        <f>IF('06人流模型'!N6&lt;=0,0,业态参数!$B$56*'06人流模型'!N6/75)</f>
        <v/>
      </c>
      <c r="Q38" s="18">
        <f>IF('06人流模型'!O6&lt;=0,0,业态参数!$B$56*'06人流模型'!O6/75)</f>
        <v/>
      </c>
      <c r="R38" s="18">
        <f>IF('06人流模型'!P6&lt;=0,0,业态参数!$B$56*'06人流模型'!P6/75)</f>
        <v/>
      </c>
      <c r="S38" s="18">
        <f>IF('06人流模型'!Q6&lt;=0,0,业态参数!$B$56*'06人流模型'!Q6/75)</f>
        <v/>
      </c>
      <c r="T38" s="18">
        <f>IF('06人流模型'!R6&lt;=0,0,业态参数!$B$56*'06人流模型'!R6/75)</f>
        <v/>
      </c>
      <c r="U38" s="18">
        <f>IF('06人流模型'!S6&lt;=0,0,业态参数!$B$56*'06人流模型'!S6/75)</f>
        <v/>
      </c>
    </row>
    <row r="39">
      <c r="B39" s="11" t="inlineStr">
        <is>
          <t>全园营销</t>
        </is>
      </c>
      <c r="D39" s="75">
        <f>IF('06人流模型'!B6&lt;=0,0,MAX(业态参数!$B$58,收入测算!D35*业态参数!$B$57))</f>
        <v/>
      </c>
      <c r="E39" s="75">
        <f>IF('06人流模型'!C6&lt;=0,0,MAX(业态参数!$B$58,收入测算!E35*业态参数!$B$57))</f>
        <v/>
      </c>
      <c r="F39" s="18">
        <f>IF('06人流模型'!D6&lt;=0,0,MAX(业态参数!$B$58,收入测算!F35*业态参数!$B$57))</f>
        <v/>
      </c>
      <c r="G39" s="18">
        <f>IF('06人流模型'!E6&lt;=0,0,MAX(业态参数!$B$58,收入测算!G35*业态参数!$B$57))</f>
        <v/>
      </c>
      <c r="H39" s="18">
        <f>IF('06人流模型'!F6&lt;=0,0,MAX(业态参数!$B$58,收入测算!H35*业态参数!$B$57))</f>
        <v/>
      </c>
      <c r="I39" s="18">
        <f>IF('06人流模型'!G6&lt;=0,0,MAX(业态参数!$B$58,收入测算!I35*业态参数!$B$57))</f>
        <v/>
      </c>
      <c r="J39" s="18">
        <f>IF('06人流模型'!H6&lt;=0,0,MAX(业态参数!$B$58,收入测算!J35*业态参数!$B$57))</f>
        <v/>
      </c>
      <c r="K39" s="18">
        <f>IF('06人流模型'!I6&lt;=0,0,MAX(业态参数!$B$58,收入测算!K35*业态参数!$B$57))</f>
        <v/>
      </c>
      <c r="L39" s="18">
        <f>IF('06人流模型'!J6&lt;=0,0,MAX(业态参数!$B$58,收入测算!L35*业态参数!$B$57))</f>
        <v/>
      </c>
      <c r="M39" s="18">
        <f>IF('06人流模型'!K6&lt;=0,0,MAX(业态参数!$B$58,收入测算!M35*业态参数!$B$57))</f>
        <v/>
      </c>
      <c r="N39" s="18">
        <f>IF('06人流模型'!L6&lt;=0,0,MAX(业态参数!$B$58,收入测算!N35*业态参数!$B$57))</f>
        <v/>
      </c>
      <c r="O39" s="18">
        <f>IF('06人流模型'!M6&lt;=0,0,MAX(业态参数!$B$58,收入测算!O35*业态参数!$B$57))</f>
        <v/>
      </c>
      <c r="P39" s="18">
        <f>IF('06人流模型'!N6&lt;=0,0,MAX(业态参数!$B$58,收入测算!P35*业态参数!$B$57))</f>
        <v/>
      </c>
      <c r="Q39" s="18">
        <f>IF('06人流模型'!O6&lt;=0,0,MAX(业态参数!$B$58,收入测算!Q35*业态参数!$B$57))</f>
        <v/>
      </c>
      <c r="R39" s="18">
        <f>IF('06人流模型'!P6&lt;=0,0,MAX(业态参数!$B$58,收入测算!R35*业态参数!$B$57))</f>
        <v/>
      </c>
      <c r="S39" s="18">
        <f>IF('06人流模型'!Q6&lt;=0,0,MAX(业态参数!$B$58,收入测算!S35*业态参数!$B$57))</f>
        <v/>
      </c>
      <c r="T39" s="18">
        <f>IF('06人流模型'!R6&lt;=0,0,MAX(业态参数!$B$58,收入测算!T35*业态参数!$B$57))</f>
        <v/>
      </c>
      <c r="U39" s="18">
        <f>IF('06人流模型'!S6&lt;=0,0,MAX(业态参数!$B$58,收入测算!U35*业态参数!$B$57))</f>
        <v/>
      </c>
    </row>
    <row r="40">
      <c r="B40" s="11" t="inlineStr">
        <is>
          <t>维修保养</t>
        </is>
      </c>
      <c r="D40" s="75">
        <f>IF('06人流模型'!B6&lt;=0,0,业态参数!$B$59*'06人流模型'!B6/75)</f>
        <v/>
      </c>
      <c r="E40" s="75">
        <f>IF('06人流模型'!C6&lt;=0,0,业态参数!$B$59*'06人流模型'!C6/75)</f>
        <v/>
      </c>
      <c r="F40" s="18">
        <f>IF('06人流模型'!D6&lt;=0,0,业态参数!$B$59*'06人流模型'!D6/75)</f>
        <v/>
      </c>
      <c r="G40" s="18">
        <f>IF('06人流模型'!E6&lt;=0,0,业态参数!$B$59*'06人流模型'!E6/75)</f>
        <v/>
      </c>
      <c r="H40" s="18">
        <f>IF('06人流模型'!F6&lt;=0,0,业态参数!$B$59*'06人流模型'!F6/75)</f>
        <v/>
      </c>
      <c r="I40" s="18">
        <f>IF('06人流模型'!G6&lt;=0,0,业态参数!$B$59*'06人流模型'!G6/75)</f>
        <v/>
      </c>
      <c r="J40" s="18">
        <f>IF('06人流模型'!H6&lt;=0,0,业态参数!$B$59*'06人流模型'!H6/75)</f>
        <v/>
      </c>
      <c r="K40" s="18">
        <f>IF('06人流模型'!I6&lt;=0,0,业态参数!$B$59*'06人流模型'!I6/75)</f>
        <v/>
      </c>
      <c r="L40" s="18">
        <f>IF('06人流模型'!J6&lt;=0,0,业态参数!$B$59*'06人流模型'!J6/75)</f>
        <v/>
      </c>
      <c r="M40" s="18">
        <f>IF('06人流模型'!K6&lt;=0,0,业态参数!$B$59*'06人流模型'!K6/75)</f>
        <v/>
      </c>
      <c r="N40" s="18">
        <f>IF('06人流模型'!L6&lt;=0,0,业态参数!$B$59*'06人流模型'!L6/75)</f>
        <v/>
      </c>
      <c r="O40" s="18">
        <f>IF('06人流模型'!M6&lt;=0,0,业态参数!$B$59*'06人流模型'!M6/75)</f>
        <v/>
      </c>
      <c r="P40" s="18">
        <f>IF('06人流模型'!N6&lt;=0,0,业态参数!$B$59*'06人流模型'!N6/75)</f>
        <v/>
      </c>
      <c r="Q40" s="18">
        <f>IF('06人流模型'!O6&lt;=0,0,业态参数!$B$59*'06人流模型'!O6/75)</f>
        <v/>
      </c>
      <c r="R40" s="18">
        <f>IF('06人流模型'!P6&lt;=0,0,业态参数!$B$59*'06人流模型'!P6/75)</f>
        <v/>
      </c>
      <c r="S40" s="18">
        <f>IF('06人流模型'!Q6&lt;=0,0,业态参数!$B$59*'06人流模型'!Q6/75)</f>
        <v/>
      </c>
      <c r="T40" s="18">
        <f>IF('06人流模型'!R6&lt;=0,0,业态参数!$B$59*'06人流模型'!R6/75)</f>
        <v/>
      </c>
      <c r="U40" s="18">
        <f>IF('06人流模型'!S6&lt;=0,0,业态参数!$B$59*'06人流模型'!S6/75)</f>
        <v/>
      </c>
    </row>
    <row r="41">
      <c r="B41" s="11" t="inlineStr">
        <is>
          <t>保险</t>
        </is>
      </c>
      <c r="D41" s="75">
        <f>IF('06人流模型'!B6&lt;=0,0,业态参数!$B$60)</f>
        <v/>
      </c>
      <c r="E41" s="75">
        <f>IF('06人流模型'!C6&lt;=0,0,业态参数!$B$60)</f>
        <v/>
      </c>
      <c r="F41" s="18">
        <f>IF('06人流模型'!D6&lt;=0,0,业态参数!$B$60)</f>
        <v/>
      </c>
      <c r="G41" s="18">
        <f>IF('06人流模型'!E6&lt;=0,0,业态参数!$B$60)</f>
        <v/>
      </c>
      <c r="H41" s="18">
        <f>IF('06人流模型'!F6&lt;=0,0,业态参数!$B$60)</f>
        <v/>
      </c>
      <c r="I41" s="18">
        <f>IF('06人流模型'!G6&lt;=0,0,业态参数!$B$60)</f>
        <v/>
      </c>
      <c r="J41" s="18">
        <f>IF('06人流模型'!H6&lt;=0,0,业态参数!$B$60)</f>
        <v/>
      </c>
      <c r="K41" s="18">
        <f>IF('06人流模型'!I6&lt;=0,0,业态参数!$B$60)</f>
        <v/>
      </c>
      <c r="L41" s="18">
        <f>IF('06人流模型'!J6&lt;=0,0,业态参数!$B$60)</f>
        <v/>
      </c>
      <c r="M41" s="18">
        <f>IF('06人流模型'!K6&lt;=0,0,业态参数!$B$60)</f>
        <v/>
      </c>
      <c r="N41" s="18">
        <f>IF('06人流模型'!L6&lt;=0,0,业态参数!$B$60)</f>
        <v/>
      </c>
      <c r="O41" s="18">
        <f>IF('06人流模型'!M6&lt;=0,0,业态参数!$B$60)</f>
        <v/>
      </c>
      <c r="P41" s="18">
        <f>IF('06人流模型'!N6&lt;=0,0,业态参数!$B$60)</f>
        <v/>
      </c>
      <c r="Q41" s="18">
        <f>IF('06人流模型'!O6&lt;=0,0,业态参数!$B$60)</f>
        <v/>
      </c>
      <c r="R41" s="18">
        <f>IF('06人流模型'!P6&lt;=0,0,业态参数!$B$60)</f>
        <v/>
      </c>
      <c r="S41" s="18">
        <f>IF('06人流模型'!Q6&lt;=0,0,业态参数!$B$60)</f>
        <v/>
      </c>
      <c r="T41" s="18">
        <f>IF('06人流模型'!R6&lt;=0,0,业态参数!$B$60)</f>
        <v/>
      </c>
      <c r="U41" s="18">
        <f>IF('06人流模型'!S6&lt;=0,0,业态参数!$B$60)</f>
        <v/>
      </c>
    </row>
    <row r="42">
      <c r="B42" s="11" t="inlineStr">
        <is>
          <t>办公杂费</t>
        </is>
      </c>
      <c r="D42" s="75">
        <f>IF('06人流模型'!B6&lt;=0,0,业态参数!$B$61)</f>
        <v/>
      </c>
      <c r="E42" s="75">
        <f>IF('06人流模型'!C6&lt;=0,0,业态参数!$B$61)</f>
        <v/>
      </c>
      <c r="F42" s="18">
        <f>IF('06人流模型'!D6&lt;=0,0,业态参数!$B$61)</f>
        <v/>
      </c>
      <c r="G42" s="18">
        <f>IF('06人流模型'!E6&lt;=0,0,业态参数!$B$61)</f>
        <v/>
      </c>
      <c r="H42" s="18">
        <f>IF('06人流模型'!F6&lt;=0,0,业态参数!$B$61)</f>
        <v/>
      </c>
      <c r="I42" s="18">
        <f>IF('06人流模型'!G6&lt;=0,0,业态参数!$B$61)</f>
        <v/>
      </c>
      <c r="J42" s="18">
        <f>IF('06人流模型'!H6&lt;=0,0,业态参数!$B$61)</f>
        <v/>
      </c>
      <c r="K42" s="18">
        <f>IF('06人流模型'!I6&lt;=0,0,业态参数!$B$61)</f>
        <v/>
      </c>
      <c r="L42" s="18">
        <f>IF('06人流模型'!J6&lt;=0,0,业态参数!$B$61)</f>
        <v/>
      </c>
      <c r="M42" s="18">
        <f>IF('06人流模型'!K6&lt;=0,0,业态参数!$B$61)</f>
        <v/>
      </c>
      <c r="N42" s="18">
        <f>IF('06人流模型'!L6&lt;=0,0,业态参数!$B$61)</f>
        <v/>
      </c>
      <c r="O42" s="18">
        <f>IF('06人流模型'!M6&lt;=0,0,业态参数!$B$61)</f>
        <v/>
      </c>
      <c r="P42" s="18">
        <f>IF('06人流模型'!N6&lt;=0,0,业态参数!$B$61)</f>
        <v/>
      </c>
      <c r="Q42" s="18">
        <f>IF('06人流模型'!O6&lt;=0,0,业态参数!$B$61)</f>
        <v/>
      </c>
      <c r="R42" s="18">
        <f>IF('06人流模型'!P6&lt;=0,0,业态参数!$B$61)</f>
        <v/>
      </c>
      <c r="S42" s="18">
        <f>IF('06人流模型'!Q6&lt;=0,0,业态参数!$B$61)</f>
        <v/>
      </c>
      <c r="T42" s="18">
        <f>IF('06人流模型'!R6&lt;=0,0,业态参数!$B$61)</f>
        <v/>
      </c>
      <c r="U42" s="18">
        <f>IF('06人流模型'!S6&lt;=0,0,业态参数!$B$61)</f>
        <v/>
      </c>
    </row>
    <row r="43">
      <c r="B43" s="39" t="inlineStr">
        <is>
          <t>既有动物饲料医疗</t>
        </is>
      </c>
      <c r="D43" s="75">
        <f>IF('06人流模型'!B6&lt;=0,0,业态参数!$B$62)</f>
        <v/>
      </c>
      <c r="E43" s="75">
        <f>IF('06人流模型'!C6&lt;=0,0,业态参数!$B$62)</f>
        <v/>
      </c>
      <c r="F43" s="18">
        <f>IF('06人流模型'!D6&lt;=0,0,业态参数!$B$62)</f>
        <v/>
      </c>
      <c r="G43" s="18">
        <f>IF('06人流模型'!E6&lt;=0,0,业态参数!$B$62)</f>
        <v/>
      </c>
      <c r="H43" s="18">
        <f>IF('06人流模型'!F6&lt;=0,0,业态参数!$B$62)</f>
        <v/>
      </c>
      <c r="I43" s="18">
        <f>IF('06人流模型'!G6&lt;=0,0,业态参数!$B$62)</f>
        <v/>
      </c>
      <c r="J43" s="18">
        <f>IF('06人流模型'!H6&lt;=0,0,业态参数!$B$62)</f>
        <v/>
      </c>
      <c r="K43" s="18">
        <f>IF('06人流模型'!I6&lt;=0,0,业态参数!$B$62)</f>
        <v/>
      </c>
      <c r="L43" s="18">
        <f>IF('06人流模型'!J6&lt;=0,0,业态参数!$B$62)</f>
        <v/>
      </c>
      <c r="M43" s="18">
        <f>IF('06人流模型'!K6&lt;=0,0,业态参数!$B$62)</f>
        <v/>
      </c>
      <c r="N43" s="18">
        <f>IF('06人流模型'!L6&lt;=0,0,业态参数!$B$62)</f>
        <v/>
      </c>
      <c r="O43" s="18">
        <f>IF('06人流模型'!M6&lt;=0,0,业态参数!$B$62)</f>
        <v/>
      </c>
      <c r="P43" s="18">
        <f>IF('06人流模型'!N6&lt;=0,0,业态参数!$B$62)</f>
        <v/>
      </c>
      <c r="Q43" s="18">
        <f>IF('06人流模型'!O6&lt;=0,0,业态参数!$B$62)</f>
        <v/>
      </c>
      <c r="R43" s="18">
        <f>IF('06人流模型'!P6&lt;=0,0,业态参数!$B$62)</f>
        <v/>
      </c>
      <c r="S43" s="18">
        <f>IF('06人流模型'!Q6&lt;=0,0,业态参数!$B$62)</f>
        <v/>
      </c>
      <c r="T43" s="18">
        <f>IF('06人流模型'!R6&lt;=0,0,业态参数!$B$62)</f>
        <v/>
      </c>
      <c r="U43" s="18">
        <f>IF('06人流模型'!S6&lt;=0,0,业态参数!$B$62)</f>
        <v/>
      </c>
    </row>
    <row r="44">
      <c r="B44" s="23" t="inlineStr">
        <is>
          <t>经营成本合计</t>
        </is>
      </c>
      <c r="D44" s="67">
        <f>SUM(D5:D43)</f>
        <v/>
      </c>
      <c r="E44" s="67">
        <f>SUM(E5:E43)</f>
        <v/>
      </c>
      <c r="F44" s="67">
        <f>SUM(F5:F43)</f>
        <v/>
      </c>
      <c r="G44" s="67">
        <f>SUM(G5:G43)</f>
        <v/>
      </c>
      <c r="H44" s="67">
        <f>SUM(H5:H43)</f>
        <v/>
      </c>
      <c r="I44" s="67">
        <f>SUM(I5:I43)</f>
        <v/>
      </c>
      <c r="J44" s="67">
        <f>SUM(J5:J43)</f>
        <v/>
      </c>
      <c r="K44" s="67">
        <f>SUM(K5:K43)</f>
        <v/>
      </c>
      <c r="L44" s="67">
        <f>SUM(L5:L43)</f>
        <v/>
      </c>
      <c r="M44" s="67">
        <f>SUM(M5:M43)</f>
        <v/>
      </c>
      <c r="N44" s="67">
        <f>SUM(N5:N43)</f>
        <v/>
      </c>
      <c r="O44" s="67">
        <f>SUM(O5:O43)</f>
        <v/>
      </c>
      <c r="P44" s="67">
        <f>SUM(P5:P43)</f>
        <v/>
      </c>
      <c r="Q44" s="67">
        <f>SUM(Q5:Q43)</f>
        <v/>
      </c>
      <c r="R44" s="67">
        <f>SUM(R5:R43)</f>
        <v/>
      </c>
      <c r="S44" s="67">
        <f>SUM(S5:S43)</f>
        <v/>
      </c>
      <c r="T44" s="67">
        <f>SUM(T5:T43)</f>
        <v/>
      </c>
      <c r="U44" s="67">
        <f>SUM(U5:U43)</f>
        <v/>
      </c>
    </row>
    <row r="45">
      <c r="B45" s="7" t="inlineStr">
        <is>
          <t>经营贡献</t>
        </is>
      </c>
      <c r="D45" s="76">
        <f>收入测算!D35-D44</f>
        <v/>
      </c>
      <c r="E45" s="76">
        <f>收入测算!E35-E44</f>
        <v/>
      </c>
      <c r="F45" s="76">
        <f>收入测算!F35-F44</f>
        <v/>
      </c>
      <c r="G45" s="76">
        <f>收入测算!G35-G44</f>
        <v/>
      </c>
      <c r="H45" s="76">
        <f>收入测算!H35-H44</f>
        <v/>
      </c>
      <c r="I45" s="76">
        <f>收入测算!I35-I44</f>
        <v/>
      </c>
      <c r="J45" s="76">
        <f>收入测算!J35-J44</f>
        <v/>
      </c>
      <c r="K45" s="76">
        <f>收入测算!K35-K44</f>
        <v/>
      </c>
      <c r="L45" s="76">
        <f>收入测算!L35-L44</f>
        <v/>
      </c>
      <c r="M45" s="76">
        <f>收入测算!M35-M44</f>
        <v/>
      </c>
      <c r="N45" s="76">
        <f>收入测算!N35-N44</f>
        <v/>
      </c>
      <c r="O45" s="76">
        <f>收入测算!O35-O44</f>
        <v/>
      </c>
      <c r="P45" s="76">
        <f>收入测算!P35-P44</f>
        <v/>
      </c>
      <c r="Q45" s="76">
        <f>收入测算!Q35-Q44</f>
        <v/>
      </c>
      <c r="R45" s="76">
        <f>收入测算!R35-R44</f>
        <v/>
      </c>
      <c r="S45" s="76">
        <f>收入测算!S35-S44</f>
        <v/>
      </c>
      <c r="T45" s="76">
        <f>收入测算!T35-T44</f>
        <v/>
      </c>
      <c r="U45" s="76">
        <f>收入测算!U35-U44</f>
        <v/>
      </c>
    </row>
  </sheetData>
  <mergeCells count="3">
    <mergeCell ref="A2:V2"/>
    <mergeCell ref="A1:V1"/>
    <mergeCell ref="A3:V3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T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1" t="inlineStr">
        <is>
          <t>18年财务计划｜利润、现金流与投资回收（万元）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4">
      <c r="A4" s="4" t="inlineStr">
        <is>
          <t>科目</t>
        </is>
      </c>
      <c r="B4" s="4" t="inlineStr">
        <is>
          <t>第1年</t>
        </is>
      </c>
      <c r="C4" s="4" t="inlineStr">
        <is>
          <t>第2年</t>
        </is>
      </c>
      <c r="D4" s="4" t="inlineStr">
        <is>
          <t>第3年</t>
        </is>
      </c>
      <c r="E4" s="4" t="inlineStr">
        <is>
          <t>第4年</t>
        </is>
      </c>
      <c r="F4" s="4" t="inlineStr">
        <is>
          <t>第5年</t>
        </is>
      </c>
      <c r="G4" s="4" t="inlineStr">
        <is>
          <t>第6年</t>
        </is>
      </c>
      <c r="H4" s="4" t="inlineStr">
        <is>
          <t>第7年</t>
        </is>
      </c>
      <c r="I4" s="4" t="inlineStr">
        <is>
          <t>第8年</t>
        </is>
      </c>
      <c r="J4" s="4" t="inlineStr">
        <is>
          <t>第9年</t>
        </is>
      </c>
      <c r="K4" s="4" t="inlineStr">
        <is>
          <t>第10年</t>
        </is>
      </c>
      <c r="L4" s="4" t="inlineStr">
        <is>
          <t>第11年</t>
        </is>
      </c>
      <c r="M4" s="4" t="inlineStr">
        <is>
          <t>第12年</t>
        </is>
      </c>
      <c r="N4" s="4" t="inlineStr">
        <is>
          <t>第13年</t>
        </is>
      </c>
      <c r="O4" s="4" t="inlineStr">
        <is>
          <t>第14年</t>
        </is>
      </c>
      <c r="P4" s="4" t="inlineStr">
        <is>
          <t>第15年</t>
        </is>
      </c>
      <c r="Q4" s="4" t="inlineStr">
        <is>
          <t>第16年</t>
        </is>
      </c>
      <c r="R4" s="4" t="inlineStr">
        <is>
          <t>第17年</t>
        </is>
      </c>
      <c r="S4" s="4" t="inlineStr">
        <is>
          <t>第18年</t>
        </is>
      </c>
    </row>
    <row r="5">
      <c r="A5" s="11" t="inlineStr">
        <is>
          <t>阶段</t>
        </is>
      </c>
      <c r="B5" s="77" t="inlineStr">
        <is>
          <t>建设期</t>
        </is>
      </c>
      <c r="C5" s="77" t="inlineStr">
        <is>
          <t>建设期</t>
        </is>
      </c>
      <c r="D5" s="78" t="inlineStr">
        <is>
          <t>开业达产</t>
        </is>
      </c>
      <c r="E5" s="78" t="inlineStr">
        <is>
          <t>稳定保底</t>
        </is>
      </c>
      <c r="F5" s="78" t="inlineStr">
        <is>
          <t>稳定保底</t>
        </is>
      </c>
      <c r="G5" s="78" t="inlineStr">
        <is>
          <t>稳定保底</t>
        </is>
      </c>
      <c r="H5" s="78" t="inlineStr">
        <is>
          <t>稳定保底</t>
        </is>
      </c>
      <c r="I5" s="78" t="inlineStr">
        <is>
          <t>稳定保底</t>
        </is>
      </c>
      <c r="J5" s="78" t="inlineStr">
        <is>
          <t>稳定保底</t>
        </is>
      </c>
      <c r="K5" s="78" t="inlineStr">
        <is>
          <t>稳定保底</t>
        </is>
      </c>
      <c r="L5" s="78" t="inlineStr">
        <is>
          <t>稳定保底</t>
        </is>
      </c>
      <c r="M5" s="78" t="inlineStr">
        <is>
          <t>稳定保底</t>
        </is>
      </c>
      <c r="N5" s="78" t="inlineStr">
        <is>
          <t>稳定保底</t>
        </is>
      </c>
      <c r="O5" s="78" t="inlineStr">
        <is>
          <t>稳定保底</t>
        </is>
      </c>
      <c r="P5" s="78" t="inlineStr">
        <is>
          <t>稳定保底</t>
        </is>
      </c>
      <c r="Q5" s="78" t="inlineStr">
        <is>
          <t>稳定保底</t>
        </is>
      </c>
      <c r="R5" s="78" t="inlineStr">
        <is>
          <t>稳定保底</t>
        </is>
      </c>
      <c r="S5" s="78" t="inlineStr">
        <is>
          <t>稳定保底</t>
        </is>
      </c>
    </row>
    <row r="6">
      <c r="A6" s="11" t="inlineStr">
        <is>
          <t>入园人次（万人）</t>
        </is>
      </c>
      <c r="B6" s="65">
        <f>'06人流模型'!B6</f>
        <v/>
      </c>
      <c r="C6" s="65">
        <f>'06人流模型'!C6</f>
        <v/>
      </c>
      <c r="D6" s="65">
        <f>'06人流模型'!D6</f>
        <v/>
      </c>
      <c r="E6" s="65">
        <f>'06人流模型'!E6</f>
        <v/>
      </c>
      <c r="F6" s="65">
        <f>'06人流模型'!F6</f>
        <v/>
      </c>
      <c r="G6" s="65">
        <f>'06人流模型'!G6</f>
        <v/>
      </c>
      <c r="H6" s="65">
        <f>'06人流模型'!H6</f>
        <v/>
      </c>
      <c r="I6" s="65">
        <f>'06人流模型'!I6</f>
        <v/>
      </c>
      <c r="J6" s="65">
        <f>'06人流模型'!J6</f>
        <v/>
      </c>
      <c r="K6" s="65">
        <f>'06人流模型'!K6</f>
        <v/>
      </c>
      <c r="L6" s="65">
        <f>'06人流模型'!L6</f>
        <v/>
      </c>
      <c r="M6" s="65">
        <f>'06人流模型'!M6</f>
        <v/>
      </c>
      <c r="N6" s="65">
        <f>'06人流模型'!N6</f>
        <v/>
      </c>
      <c r="O6" s="65">
        <f>'06人流模型'!O6</f>
        <v/>
      </c>
      <c r="P6" s="65">
        <f>'06人流模型'!P6</f>
        <v/>
      </c>
      <c r="Q6" s="65">
        <f>'06人流模型'!Q6</f>
        <v/>
      </c>
      <c r="R6" s="65">
        <f>'06人流模型'!R6</f>
        <v/>
      </c>
      <c r="S6" s="65">
        <f>'06人流模型'!S6</f>
        <v/>
      </c>
    </row>
    <row r="7">
      <c r="A7" s="11" t="inlineStr">
        <is>
          <t>公园营业收入</t>
        </is>
      </c>
      <c r="B7" s="64">
        <f>收入测算!D35</f>
        <v/>
      </c>
      <c r="C7" s="64">
        <f>收入测算!E35</f>
        <v/>
      </c>
      <c r="D7" s="65">
        <f>收入测算!F35</f>
        <v/>
      </c>
      <c r="E7" s="65">
        <f>收入测算!G35</f>
        <v/>
      </c>
      <c r="F7" s="65">
        <f>收入测算!H35</f>
        <v/>
      </c>
      <c r="G7" s="65">
        <f>收入测算!I35</f>
        <v/>
      </c>
      <c r="H7" s="65">
        <f>收入测算!J35</f>
        <v/>
      </c>
      <c r="I7" s="65">
        <f>收入测算!K35</f>
        <v/>
      </c>
      <c r="J7" s="65">
        <f>收入测算!L35</f>
        <v/>
      </c>
      <c r="K7" s="65">
        <f>收入测算!M35</f>
        <v/>
      </c>
      <c r="L7" s="65">
        <f>收入测算!N35</f>
        <v/>
      </c>
      <c r="M7" s="65">
        <f>收入测算!O35</f>
        <v/>
      </c>
      <c r="N7" s="65">
        <f>收入测算!P35</f>
        <v/>
      </c>
      <c r="O7" s="65">
        <f>收入测算!Q35</f>
        <v/>
      </c>
      <c r="P7" s="65">
        <f>收入测算!R35</f>
        <v/>
      </c>
      <c r="Q7" s="65">
        <f>收入测算!S35</f>
        <v/>
      </c>
      <c r="R7" s="65">
        <f>收入测算!T35</f>
        <v/>
      </c>
      <c r="S7" s="65">
        <f>收入测算!U35</f>
        <v/>
      </c>
    </row>
    <row r="8">
      <c r="A8" s="11" t="inlineStr">
        <is>
          <t>其中：联营</t>
        </is>
      </c>
      <c r="B8" s="64">
        <f>收入测算!D36</f>
        <v/>
      </c>
      <c r="C8" s="64">
        <f>收入测算!E36</f>
        <v/>
      </c>
      <c r="D8" s="65">
        <f>收入测算!F36</f>
        <v/>
      </c>
      <c r="E8" s="65">
        <f>收入测算!G36</f>
        <v/>
      </c>
      <c r="F8" s="65">
        <f>收入测算!H36</f>
        <v/>
      </c>
      <c r="G8" s="65">
        <f>收入测算!I36</f>
        <v/>
      </c>
      <c r="H8" s="65">
        <f>收入测算!J36</f>
        <v/>
      </c>
      <c r="I8" s="65">
        <f>收入测算!K36</f>
        <v/>
      </c>
      <c r="J8" s="65">
        <f>收入测算!L36</f>
        <v/>
      </c>
      <c r="K8" s="65">
        <f>收入测算!M36</f>
        <v/>
      </c>
      <c r="L8" s="65">
        <f>收入测算!N36</f>
        <v/>
      </c>
      <c r="M8" s="65">
        <f>收入测算!O36</f>
        <v/>
      </c>
      <c r="N8" s="65">
        <f>收入测算!P36</f>
        <v/>
      </c>
      <c r="O8" s="65">
        <f>收入测算!Q36</f>
        <v/>
      </c>
      <c r="P8" s="65">
        <f>收入测算!R36</f>
        <v/>
      </c>
      <c r="Q8" s="65">
        <f>收入测算!S36</f>
        <v/>
      </c>
      <c r="R8" s="65">
        <f>收入测算!T36</f>
        <v/>
      </c>
      <c r="S8" s="65">
        <f>收入测算!U36</f>
        <v/>
      </c>
    </row>
    <row r="9">
      <c r="A9" s="11" t="inlineStr">
        <is>
          <t>其中：自营</t>
        </is>
      </c>
      <c r="B9" s="64">
        <f>收入测算!D37</f>
        <v/>
      </c>
      <c r="C9" s="64">
        <f>收入测算!E37</f>
        <v/>
      </c>
      <c r="D9" s="65">
        <f>收入测算!F37</f>
        <v/>
      </c>
      <c r="E9" s="65">
        <f>收入测算!G37</f>
        <v/>
      </c>
      <c r="F9" s="65">
        <f>收入测算!H37</f>
        <v/>
      </c>
      <c r="G9" s="65">
        <f>收入测算!I37</f>
        <v/>
      </c>
      <c r="H9" s="65">
        <f>收入测算!J37</f>
        <v/>
      </c>
      <c r="I9" s="65">
        <f>收入测算!K37</f>
        <v/>
      </c>
      <c r="J9" s="65">
        <f>收入测算!L37</f>
        <v/>
      </c>
      <c r="K9" s="65">
        <f>收入测算!M37</f>
        <v/>
      </c>
      <c r="L9" s="65">
        <f>收入测算!N37</f>
        <v/>
      </c>
      <c r="M9" s="65">
        <f>收入测算!O37</f>
        <v/>
      </c>
      <c r="N9" s="65">
        <f>收入测算!P37</f>
        <v/>
      </c>
      <c r="O9" s="65">
        <f>收入测算!Q37</f>
        <v/>
      </c>
      <c r="P9" s="65">
        <f>收入测算!R37</f>
        <v/>
      </c>
      <c r="Q9" s="65">
        <f>收入测算!S37</f>
        <v/>
      </c>
      <c r="R9" s="65">
        <f>收入测算!T37</f>
        <v/>
      </c>
      <c r="S9" s="65">
        <f>收入测算!U37</f>
        <v/>
      </c>
    </row>
    <row r="10">
      <c r="A10" s="11" t="inlineStr">
        <is>
          <t>其中：出租</t>
        </is>
      </c>
      <c r="B10" s="64">
        <f>收入测算!D38</f>
        <v/>
      </c>
      <c r="C10" s="64">
        <f>收入测算!E38</f>
        <v/>
      </c>
      <c r="D10" s="65">
        <f>收入测算!F38</f>
        <v/>
      </c>
      <c r="E10" s="65">
        <f>收入测算!G38</f>
        <v/>
      </c>
      <c r="F10" s="65">
        <f>收入测算!H38</f>
        <v/>
      </c>
      <c r="G10" s="65">
        <f>收入测算!I38</f>
        <v/>
      </c>
      <c r="H10" s="65">
        <f>收入测算!J38</f>
        <v/>
      </c>
      <c r="I10" s="65">
        <f>收入测算!K38</f>
        <v/>
      </c>
      <c r="J10" s="65">
        <f>收入测算!L38</f>
        <v/>
      </c>
      <c r="K10" s="65">
        <f>收入测算!M38</f>
        <v/>
      </c>
      <c r="L10" s="65">
        <f>收入测算!N38</f>
        <v/>
      </c>
      <c r="M10" s="65">
        <f>收入测算!O38</f>
        <v/>
      </c>
      <c r="N10" s="65">
        <f>收入测算!P38</f>
        <v/>
      </c>
      <c r="O10" s="65">
        <f>收入测算!Q38</f>
        <v/>
      </c>
      <c r="P10" s="65">
        <f>收入测算!R38</f>
        <v/>
      </c>
      <c r="Q10" s="65">
        <f>收入测算!S38</f>
        <v/>
      </c>
      <c r="R10" s="65">
        <f>收入测算!T38</f>
        <v/>
      </c>
      <c r="S10" s="65">
        <f>收入测算!U38</f>
        <v/>
      </c>
    </row>
    <row r="11">
      <c r="A11" s="11" t="inlineStr">
        <is>
          <t>其中：品牌加盟</t>
        </is>
      </c>
      <c r="B11" s="64">
        <f>收入测算!D39</f>
        <v/>
      </c>
      <c r="C11" s="64">
        <f>收入测算!E39</f>
        <v/>
      </c>
      <c r="D11" s="65">
        <f>收入测算!F39</f>
        <v/>
      </c>
      <c r="E11" s="65">
        <f>收入测算!G39</f>
        <v/>
      </c>
      <c r="F11" s="65">
        <f>收入测算!H39</f>
        <v/>
      </c>
      <c r="G11" s="65">
        <f>收入测算!I39</f>
        <v/>
      </c>
      <c r="H11" s="65">
        <f>收入测算!J39</f>
        <v/>
      </c>
      <c r="I11" s="65">
        <f>收入测算!K39</f>
        <v/>
      </c>
      <c r="J11" s="65">
        <f>收入测算!L39</f>
        <v/>
      </c>
      <c r="K11" s="65">
        <f>收入测算!M39</f>
        <v/>
      </c>
      <c r="L11" s="65">
        <f>收入测算!N39</f>
        <v/>
      </c>
      <c r="M11" s="65">
        <f>收入测算!O39</f>
        <v/>
      </c>
      <c r="N11" s="65">
        <f>收入测算!P39</f>
        <v/>
      </c>
      <c r="O11" s="65">
        <f>收入测算!Q39</f>
        <v/>
      </c>
      <c r="P11" s="65">
        <f>收入测算!R39</f>
        <v/>
      </c>
      <c r="Q11" s="65">
        <f>收入测算!S39</f>
        <v/>
      </c>
      <c r="R11" s="65">
        <f>收入测算!T39</f>
        <v/>
      </c>
      <c r="S11" s="65">
        <f>收入测算!U39</f>
        <v/>
      </c>
    </row>
    <row r="12">
      <c r="A12" s="11" t="inlineStr">
        <is>
          <t>经营成本</t>
        </is>
      </c>
      <c r="B12" s="64">
        <f>成本利润!D44</f>
        <v/>
      </c>
      <c r="C12" s="64">
        <f>成本利润!E44</f>
        <v/>
      </c>
      <c r="D12" s="65">
        <f>成本利润!F44</f>
        <v/>
      </c>
      <c r="E12" s="65">
        <f>成本利润!G44</f>
        <v/>
      </c>
      <c r="F12" s="65">
        <f>成本利润!H44</f>
        <v/>
      </c>
      <c r="G12" s="65">
        <f>成本利润!I44</f>
        <v/>
      </c>
      <c r="H12" s="65">
        <f>成本利润!J44</f>
        <v/>
      </c>
      <c r="I12" s="65">
        <f>成本利润!K44</f>
        <v/>
      </c>
      <c r="J12" s="65">
        <f>成本利润!L44</f>
        <v/>
      </c>
      <c r="K12" s="65">
        <f>成本利润!M44</f>
        <v/>
      </c>
      <c r="L12" s="65">
        <f>成本利润!N44</f>
        <v/>
      </c>
      <c r="M12" s="65">
        <f>成本利润!O44</f>
        <v/>
      </c>
      <c r="N12" s="65">
        <f>成本利润!P44</f>
        <v/>
      </c>
      <c r="O12" s="65">
        <f>成本利润!Q44</f>
        <v/>
      </c>
      <c r="P12" s="65">
        <f>成本利润!R44</f>
        <v/>
      </c>
      <c r="Q12" s="65">
        <f>成本利润!S44</f>
        <v/>
      </c>
      <c r="R12" s="65">
        <f>成本利润!T44</f>
        <v/>
      </c>
      <c r="S12" s="65">
        <f>成本利润!U44</f>
        <v/>
      </c>
    </row>
    <row r="13">
      <c r="A13" s="11" t="inlineStr">
        <is>
          <t>经营贡献</t>
        </is>
      </c>
      <c r="B13" s="64">
        <f>成本利润!D45</f>
        <v/>
      </c>
      <c r="C13" s="64">
        <f>成本利润!E45</f>
        <v/>
      </c>
      <c r="D13" s="65">
        <f>成本利润!F45</f>
        <v/>
      </c>
      <c r="E13" s="65">
        <f>成本利润!G45</f>
        <v/>
      </c>
      <c r="F13" s="65">
        <f>成本利润!H45</f>
        <v/>
      </c>
      <c r="G13" s="65">
        <f>成本利润!I45</f>
        <v/>
      </c>
      <c r="H13" s="65">
        <f>成本利润!J45</f>
        <v/>
      </c>
      <c r="I13" s="65">
        <f>成本利润!K45</f>
        <v/>
      </c>
      <c r="J13" s="65">
        <f>成本利润!L45</f>
        <v/>
      </c>
      <c r="K13" s="65">
        <f>成本利润!M45</f>
        <v/>
      </c>
      <c r="L13" s="65">
        <f>成本利润!N45</f>
        <v/>
      </c>
      <c r="M13" s="65">
        <f>成本利润!O45</f>
        <v/>
      </c>
      <c r="N13" s="65">
        <f>成本利润!P45</f>
        <v/>
      </c>
      <c r="O13" s="65">
        <f>成本利润!Q45</f>
        <v/>
      </c>
      <c r="P13" s="65">
        <f>成本利润!R45</f>
        <v/>
      </c>
      <c r="Q13" s="65">
        <f>成本利润!S45</f>
        <v/>
      </c>
      <c r="R13" s="65">
        <f>成本利润!T45</f>
        <v/>
      </c>
      <c r="S13" s="65">
        <f>成本利润!U45</f>
        <v/>
      </c>
    </row>
    <row r="14">
      <c r="A14" s="11" t="inlineStr">
        <is>
          <t>折旧摊销</t>
        </is>
      </c>
      <c r="B14" s="64">
        <f>IF('06人流模型'!B6&lt;=0,0,总投资*(1-业态参数!$B$64)/16)</f>
        <v/>
      </c>
      <c r="C14" s="64">
        <f>IF('06人流模型'!C6&lt;=0,0,总投资*(1-业态参数!$B$64)/16)</f>
        <v/>
      </c>
      <c r="D14" s="65">
        <f>IF('06人流模型'!D6&lt;=0,0,总投资*(1-业态参数!$B$64)/16)</f>
        <v/>
      </c>
      <c r="E14" s="65">
        <f>IF('06人流模型'!E6&lt;=0,0,总投资*(1-业态参数!$B$64)/16)</f>
        <v/>
      </c>
      <c r="F14" s="65">
        <f>IF('06人流模型'!F6&lt;=0,0,总投资*(1-业态参数!$B$64)/16)</f>
        <v/>
      </c>
      <c r="G14" s="65">
        <f>IF('06人流模型'!G6&lt;=0,0,总投资*(1-业态参数!$B$64)/16)</f>
        <v/>
      </c>
      <c r="H14" s="65">
        <f>IF('06人流模型'!H6&lt;=0,0,总投资*(1-业态参数!$B$64)/16)</f>
        <v/>
      </c>
      <c r="I14" s="65">
        <f>IF('06人流模型'!I6&lt;=0,0,总投资*(1-业态参数!$B$64)/16)</f>
        <v/>
      </c>
      <c r="J14" s="65">
        <f>IF('06人流模型'!J6&lt;=0,0,总投资*(1-业态参数!$B$64)/16)</f>
        <v/>
      </c>
      <c r="K14" s="65">
        <f>IF('06人流模型'!K6&lt;=0,0,总投资*(1-业态参数!$B$64)/16)</f>
        <v/>
      </c>
      <c r="L14" s="65">
        <f>IF('06人流模型'!L6&lt;=0,0,总投资*(1-业态参数!$B$64)/16)</f>
        <v/>
      </c>
      <c r="M14" s="65">
        <f>IF('06人流模型'!M6&lt;=0,0,总投资*(1-业态参数!$B$64)/16)</f>
        <v/>
      </c>
      <c r="N14" s="65">
        <f>IF('06人流模型'!N6&lt;=0,0,总投资*(1-业态参数!$B$64)/16)</f>
        <v/>
      </c>
      <c r="O14" s="65">
        <f>IF('06人流模型'!O6&lt;=0,0,总投资*(1-业态参数!$B$64)/16)</f>
        <v/>
      </c>
      <c r="P14" s="65">
        <f>IF('06人流模型'!P6&lt;=0,0,总投资*(1-业态参数!$B$64)/16)</f>
        <v/>
      </c>
      <c r="Q14" s="65">
        <f>IF('06人流模型'!Q6&lt;=0,0,总投资*(1-业态参数!$B$64)/16)</f>
        <v/>
      </c>
      <c r="R14" s="65">
        <f>IF('06人流模型'!R6&lt;=0,0,总投资*(1-业态参数!$B$64)/16)</f>
        <v/>
      </c>
      <c r="S14" s="65">
        <f>IF('06人流模型'!S6&lt;=0,0,总投资*(1-业态参数!$B$64)/16)</f>
        <v/>
      </c>
    </row>
    <row r="15">
      <c r="A15" s="11" t="inlineStr">
        <is>
          <t>经营期利息</t>
        </is>
      </c>
      <c r="B15" s="64">
        <f>IF('06人流模型'!B6&lt;=0,0,IF(AND(COLUMN()-1&gt;=3,COLUMN()-1&lt;=12),贷款本金*(1-(COLUMN()-1-3)/业态参数!$B$65)*贷款利率,0))</f>
        <v/>
      </c>
      <c r="C15" s="64">
        <f>IF('06人流模型'!C6&lt;=0,0,IF(AND(COLUMN()-1&gt;=3,COLUMN()-1&lt;=12),贷款本金*(1-(COLUMN()-1-3)/业态参数!$B$65)*贷款利率,0))</f>
        <v/>
      </c>
      <c r="D15" s="65">
        <f>IF('06人流模型'!D6&lt;=0,0,IF(AND(COLUMN()-1&gt;=3,COLUMN()-1&lt;=12),贷款本金*(1-(COLUMN()-1-3)/业态参数!$B$65)*贷款利率,0))</f>
        <v/>
      </c>
      <c r="E15" s="65">
        <f>IF('06人流模型'!E6&lt;=0,0,IF(AND(COLUMN()-1&gt;=3,COLUMN()-1&lt;=12),贷款本金*(1-(COLUMN()-1-3)/业态参数!$B$65)*贷款利率,0))</f>
        <v/>
      </c>
      <c r="F15" s="65">
        <f>IF('06人流模型'!F6&lt;=0,0,IF(AND(COLUMN()-1&gt;=3,COLUMN()-1&lt;=12),贷款本金*(1-(COLUMN()-1-3)/业态参数!$B$65)*贷款利率,0))</f>
        <v/>
      </c>
      <c r="G15" s="65">
        <f>IF('06人流模型'!G6&lt;=0,0,IF(AND(COLUMN()-1&gt;=3,COLUMN()-1&lt;=12),贷款本金*(1-(COLUMN()-1-3)/业态参数!$B$65)*贷款利率,0))</f>
        <v/>
      </c>
      <c r="H15" s="65">
        <f>IF('06人流模型'!H6&lt;=0,0,IF(AND(COLUMN()-1&gt;=3,COLUMN()-1&lt;=12),贷款本金*(1-(COLUMN()-1-3)/业态参数!$B$65)*贷款利率,0))</f>
        <v/>
      </c>
      <c r="I15" s="65">
        <f>IF('06人流模型'!I6&lt;=0,0,IF(AND(COLUMN()-1&gt;=3,COLUMN()-1&lt;=12),贷款本金*(1-(COLUMN()-1-3)/业态参数!$B$65)*贷款利率,0))</f>
        <v/>
      </c>
      <c r="J15" s="65">
        <f>IF('06人流模型'!J6&lt;=0,0,IF(AND(COLUMN()-1&gt;=3,COLUMN()-1&lt;=12),贷款本金*(1-(COLUMN()-1-3)/业态参数!$B$65)*贷款利率,0))</f>
        <v/>
      </c>
      <c r="K15" s="65">
        <f>IF('06人流模型'!K6&lt;=0,0,IF(AND(COLUMN()-1&gt;=3,COLUMN()-1&lt;=12),贷款本金*(1-(COLUMN()-1-3)/业态参数!$B$65)*贷款利率,0))</f>
        <v/>
      </c>
      <c r="L15" s="65">
        <f>IF('06人流模型'!L6&lt;=0,0,IF(AND(COLUMN()-1&gt;=3,COLUMN()-1&lt;=12),贷款本金*(1-(COLUMN()-1-3)/业态参数!$B$65)*贷款利率,0))</f>
        <v/>
      </c>
      <c r="M15" s="65">
        <f>IF('06人流模型'!M6&lt;=0,0,IF(AND(COLUMN()-1&gt;=3,COLUMN()-1&lt;=12),贷款本金*(1-(COLUMN()-1-3)/业态参数!$B$65)*贷款利率,0))</f>
        <v/>
      </c>
      <c r="N15" s="65">
        <f>IF('06人流模型'!N6&lt;=0,0,IF(AND(COLUMN()-1&gt;=3,COLUMN()-1&lt;=12),贷款本金*(1-(COLUMN()-1-3)/业态参数!$B$65)*贷款利率,0))</f>
        <v/>
      </c>
      <c r="O15" s="65">
        <f>IF('06人流模型'!O6&lt;=0,0,IF(AND(COLUMN()-1&gt;=3,COLUMN()-1&lt;=12),贷款本金*(1-(COLUMN()-1-3)/业态参数!$B$65)*贷款利率,0))</f>
        <v/>
      </c>
      <c r="P15" s="65">
        <f>IF('06人流模型'!P6&lt;=0,0,IF(AND(COLUMN()-1&gt;=3,COLUMN()-1&lt;=12),贷款本金*(1-(COLUMN()-1-3)/业态参数!$B$65)*贷款利率,0))</f>
        <v/>
      </c>
      <c r="Q15" s="65">
        <f>IF('06人流模型'!Q6&lt;=0,0,IF(AND(COLUMN()-1&gt;=3,COLUMN()-1&lt;=12),贷款本金*(1-(COLUMN()-1-3)/业态参数!$B$65)*贷款利率,0))</f>
        <v/>
      </c>
      <c r="R15" s="65">
        <f>IF('06人流模型'!R6&lt;=0,0,IF(AND(COLUMN()-1&gt;=3,COLUMN()-1&lt;=12),贷款本金*(1-(COLUMN()-1-3)/业态参数!$B$65)*贷款利率,0))</f>
        <v/>
      </c>
      <c r="S15" s="65">
        <f>IF('06人流模型'!S6&lt;=0,0,IF(AND(COLUMN()-1&gt;=3,COLUMN()-1&lt;=12),贷款本金*(1-(COLUMN()-1-3)/业态参数!$B$65)*贷款利率,0))</f>
        <v/>
      </c>
    </row>
    <row r="16">
      <c r="A16" s="7" t="inlineStr">
        <is>
          <t>利润总额</t>
        </is>
      </c>
      <c r="B16" s="73">
        <f>B13-B14-B15</f>
        <v/>
      </c>
      <c r="C16" s="73">
        <f>C13-C14-C15</f>
        <v/>
      </c>
      <c r="D16" s="74">
        <f>D13-D14-D15</f>
        <v/>
      </c>
      <c r="E16" s="74">
        <f>E13-E14-E15</f>
        <v/>
      </c>
      <c r="F16" s="74">
        <f>F13-F14-F15</f>
        <v/>
      </c>
      <c r="G16" s="74">
        <f>G13-G14-G15</f>
        <v/>
      </c>
      <c r="H16" s="74">
        <f>H13-H14-H15</f>
        <v/>
      </c>
      <c r="I16" s="74">
        <f>I13-I14-I15</f>
        <v/>
      </c>
      <c r="J16" s="74">
        <f>J13-J14-J15</f>
        <v/>
      </c>
      <c r="K16" s="74">
        <f>K13-K14-K15</f>
        <v/>
      </c>
      <c r="L16" s="74">
        <f>L13-L14-L15</f>
        <v/>
      </c>
      <c r="M16" s="74">
        <f>M13-M14-M15</f>
        <v/>
      </c>
      <c r="N16" s="74">
        <f>N13-N14-N15</f>
        <v/>
      </c>
      <c r="O16" s="74">
        <f>O13-O14-O15</f>
        <v/>
      </c>
      <c r="P16" s="74">
        <f>P13-P14-P15</f>
        <v/>
      </c>
      <c r="Q16" s="74">
        <f>Q13-Q14-Q15</f>
        <v/>
      </c>
      <c r="R16" s="74">
        <f>R13-R14-R15</f>
        <v/>
      </c>
      <c r="S16" s="74">
        <f>S13-S14-S15</f>
        <v/>
      </c>
    </row>
    <row r="17">
      <c r="A17" s="11" t="inlineStr">
        <is>
          <t>所得税</t>
        </is>
      </c>
      <c r="B17" s="64">
        <f>MAX(B16,0)*业态参数!$B$63</f>
        <v/>
      </c>
      <c r="C17" s="64">
        <f>MAX(C16,0)*业态参数!$B$63</f>
        <v/>
      </c>
      <c r="D17" s="65">
        <f>MAX(D16,0)*业态参数!$B$63</f>
        <v/>
      </c>
      <c r="E17" s="65">
        <f>MAX(E16,0)*业态参数!$B$63</f>
        <v/>
      </c>
      <c r="F17" s="65">
        <f>MAX(F16,0)*业态参数!$B$63</f>
        <v/>
      </c>
      <c r="G17" s="65">
        <f>MAX(G16,0)*业态参数!$B$63</f>
        <v/>
      </c>
      <c r="H17" s="65">
        <f>MAX(H16,0)*业态参数!$B$63</f>
        <v/>
      </c>
      <c r="I17" s="65">
        <f>MAX(I16,0)*业态参数!$B$63</f>
        <v/>
      </c>
      <c r="J17" s="65">
        <f>MAX(J16,0)*业态参数!$B$63</f>
        <v/>
      </c>
      <c r="K17" s="65">
        <f>MAX(K16,0)*业态参数!$B$63</f>
        <v/>
      </c>
      <c r="L17" s="65">
        <f>MAX(L16,0)*业态参数!$B$63</f>
        <v/>
      </c>
      <c r="M17" s="65">
        <f>MAX(M16,0)*业态参数!$B$63</f>
        <v/>
      </c>
      <c r="N17" s="65">
        <f>MAX(N16,0)*业态参数!$B$63</f>
        <v/>
      </c>
      <c r="O17" s="65">
        <f>MAX(O16,0)*业态参数!$B$63</f>
        <v/>
      </c>
      <c r="P17" s="65">
        <f>MAX(P16,0)*业态参数!$B$63</f>
        <v/>
      </c>
      <c r="Q17" s="65">
        <f>MAX(Q16,0)*业态参数!$B$63</f>
        <v/>
      </c>
      <c r="R17" s="65">
        <f>MAX(R16,0)*业态参数!$B$63</f>
        <v/>
      </c>
      <c r="S17" s="65">
        <f>MAX(S16,0)*业态参数!$B$63</f>
        <v/>
      </c>
    </row>
    <row r="18">
      <c r="A18" s="7" t="inlineStr">
        <is>
          <t>净利润</t>
        </is>
      </c>
      <c r="B18" s="73">
        <f>B16-B17</f>
        <v/>
      </c>
      <c r="C18" s="73">
        <f>C16-C17</f>
        <v/>
      </c>
      <c r="D18" s="74">
        <f>D16-D17</f>
        <v/>
      </c>
      <c r="E18" s="74">
        <f>E16-E17</f>
        <v/>
      </c>
      <c r="F18" s="74">
        <f>F16-F17</f>
        <v/>
      </c>
      <c r="G18" s="74">
        <f>G16-G17</f>
        <v/>
      </c>
      <c r="H18" s="74">
        <f>H16-H17</f>
        <v/>
      </c>
      <c r="I18" s="74">
        <f>I16-I17</f>
        <v/>
      </c>
      <c r="J18" s="74">
        <f>J16-J17</f>
        <v/>
      </c>
      <c r="K18" s="74">
        <f>K16-K17</f>
        <v/>
      </c>
      <c r="L18" s="74">
        <f>L16-L17</f>
        <v/>
      </c>
      <c r="M18" s="74">
        <f>M16-M17</f>
        <v/>
      </c>
      <c r="N18" s="74">
        <f>N16-N17</f>
        <v/>
      </c>
      <c r="O18" s="74">
        <f>O16-O17</f>
        <v/>
      </c>
      <c r="P18" s="74">
        <f>P16-P17</f>
        <v/>
      </c>
      <c r="Q18" s="74">
        <f>Q16-Q17</f>
        <v/>
      </c>
      <c r="R18" s="74">
        <f>R16-R17</f>
        <v/>
      </c>
      <c r="S18" s="74">
        <f>S16-S17</f>
        <v/>
      </c>
    </row>
    <row r="19">
      <c r="A19" s="11" t="inlineStr">
        <is>
          <t>经营期还本</t>
        </is>
      </c>
      <c r="B19" s="64">
        <f>IF('06人流模型'!B6&lt;=0,0,IF(AND(COLUMN()-1&gt;=3,COLUMN()-1&lt;=12),贷款本金/业态参数!$B$65,0))</f>
        <v/>
      </c>
      <c r="C19" s="64">
        <f>IF('06人流模型'!C6&lt;=0,0,IF(AND(COLUMN()-1&gt;=3,COLUMN()-1&lt;=12),贷款本金/业态参数!$B$65,0))</f>
        <v/>
      </c>
      <c r="D19" s="65">
        <f>IF('06人流模型'!D6&lt;=0,0,IF(AND(COLUMN()-1&gt;=3,COLUMN()-1&lt;=12),贷款本金/业态参数!$B$65,0))</f>
        <v/>
      </c>
      <c r="E19" s="65">
        <f>IF('06人流模型'!E6&lt;=0,0,IF(AND(COLUMN()-1&gt;=3,COLUMN()-1&lt;=12),贷款本金/业态参数!$B$65,0))</f>
        <v/>
      </c>
      <c r="F19" s="65">
        <f>IF('06人流模型'!F6&lt;=0,0,IF(AND(COLUMN()-1&gt;=3,COLUMN()-1&lt;=12),贷款本金/业态参数!$B$65,0))</f>
        <v/>
      </c>
      <c r="G19" s="65">
        <f>IF('06人流模型'!G6&lt;=0,0,IF(AND(COLUMN()-1&gt;=3,COLUMN()-1&lt;=12),贷款本金/业态参数!$B$65,0))</f>
        <v/>
      </c>
      <c r="H19" s="65">
        <f>IF('06人流模型'!H6&lt;=0,0,IF(AND(COLUMN()-1&gt;=3,COLUMN()-1&lt;=12),贷款本金/业态参数!$B$65,0))</f>
        <v/>
      </c>
      <c r="I19" s="65">
        <f>IF('06人流模型'!I6&lt;=0,0,IF(AND(COLUMN()-1&gt;=3,COLUMN()-1&lt;=12),贷款本金/业态参数!$B$65,0))</f>
        <v/>
      </c>
      <c r="J19" s="65">
        <f>IF('06人流模型'!J6&lt;=0,0,IF(AND(COLUMN()-1&gt;=3,COLUMN()-1&lt;=12),贷款本金/业态参数!$B$65,0))</f>
        <v/>
      </c>
      <c r="K19" s="65">
        <f>IF('06人流模型'!K6&lt;=0,0,IF(AND(COLUMN()-1&gt;=3,COLUMN()-1&lt;=12),贷款本金/业态参数!$B$65,0))</f>
        <v/>
      </c>
      <c r="L19" s="65">
        <f>IF('06人流模型'!L6&lt;=0,0,IF(AND(COLUMN()-1&gt;=3,COLUMN()-1&lt;=12),贷款本金/业态参数!$B$65,0))</f>
        <v/>
      </c>
      <c r="M19" s="65">
        <f>IF('06人流模型'!M6&lt;=0,0,IF(AND(COLUMN()-1&gt;=3,COLUMN()-1&lt;=12),贷款本金/业态参数!$B$65,0))</f>
        <v/>
      </c>
      <c r="N19" s="65">
        <f>IF('06人流模型'!N6&lt;=0,0,IF(AND(COLUMN()-1&gt;=3,COLUMN()-1&lt;=12),贷款本金/业态参数!$B$65,0))</f>
        <v/>
      </c>
      <c r="O19" s="65">
        <f>IF('06人流模型'!O6&lt;=0,0,IF(AND(COLUMN()-1&gt;=3,COLUMN()-1&lt;=12),贷款本金/业态参数!$B$65,0))</f>
        <v/>
      </c>
      <c r="P19" s="65">
        <f>IF('06人流模型'!P6&lt;=0,0,IF(AND(COLUMN()-1&gt;=3,COLUMN()-1&lt;=12),贷款本金/业态参数!$B$65,0))</f>
        <v/>
      </c>
      <c r="Q19" s="65">
        <f>IF('06人流模型'!Q6&lt;=0,0,IF(AND(COLUMN()-1&gt;=3,COLUMN()-1&lt;=12),贷款本金/业态参数!$B$65,0))</f>
        <v/>
      </c>
      <c r="R19" s="65">
        <f>IF('06人流模型'!R6&lt;=0,0,IF(AND(COLUMN()-1&gt;=3,COLUMN()-1&lt;=12),贷款本金/业态参数!$B$65,0))</f>
        <v/>
      </c>
      <c r="S19" s="65">
        <f>IF('06人流模型'!S6&lt;=0,0,IF(AND(COLUMN()-1&gt;=3,COLUMN()-1&lt;=12),贷款本金/业态参数!$B$65,0))</f>
        <v/>
      </c>
    </row>
    <row r="20">
      <c r="A20" s="11" t="inlineStr">
        <is>
          <t>建设投资现金流出</t>
        </is>
      </c>
      <c r="B20" s="64">
        <f>IF(COLUMN()-1&lt;=2,-总投资/2,0)</f>
        <v/>
      </c>
      <c r="C20" s="64">
        <f>IF(COLUMN()-1&lt;=2,-总投资/2,0)</f>
        <v/>
      </c>
      <c r="D20" s="65">
        <f>IF(COLUMN()-1&lt;=2,-总投资/2,0)</f>
        <v/>
      </c>
      <c r="E20" s="65">
        <f>IF(COLUMN()-1&lt;=2,-总投资/2,0)</f>
        <v/>
      </c>
      <c r="F20" s="65">
        <f>IF(COLUMN()-1&lt;=2,-总投资/2,0)</f>
        <v/>
      </c>
      <c r="G20" s="65">
        <f>IF(COLUMN()-1&lt;=2,-总投资/2,0)</f>
        <v/>
      </c>
      <c r="H20" s="65">
        <f>IF(COLUMN()-1&lt;=2,-总投资/2,0)</f>
        <v/>
      </c>
      <c r="I20" s="65">
        <f>IF(COLUMN()-1&lt;=2,-总投资/2,0)</f>
        <v/>
      </c>
      <c r="J20" s="65">
        <f>IF(COLUMN()-1&lt;=2,-总投资/2,0)</f>
        <v/>
      </c>
      <c r="K20" s="65">
        <f>IF(COLUMN()-1&lt;=2,-总投资/2,0)</f>
        <v/>
      </c>
      <c r="L20" s="65">
        <f>IF(COLUMN()-1&lt;=2,-总投资/2,0)</f>
        <v/>
      </c>
      <c r="M20" s="65">
        <f>IF(COLUMN()-1&lt;=2,-总投资/2,0)</f>
        <v/>
      </c>
      <c r="N20" s="65">
        <f>IF(COLUMN()-1&lt;=2,-总投资/2,0)</f>
        <v/>
      </c>
      <c r="O20" s="65">
        <f>IF(COLUMN()-1&lt;=2,-总投资/2,0)</f>
        <v/>
      </c>
      <c r="P20" s="65">
        <f>IF(COLUMN()-1&lt;=2,-总投资/2,0)</f>
        <v/>
      </c>
      <c r="Q20" s="65">
        <f>IF(COLUMN()-1&lt;=2,-总投资/2,0)</f>
        <v/>
      </c>
      <c r="R20" s="65">
        <f>IF(COLUMN()-1&lt;=2,-总投资/2,0)</f>
        <v/>
      </c>
      <c r="S20" s="65">
        <f>IF(COLUMN()-1&lt;=2,-总投资/2,0)</f>
        <v/>
      </c>
    </row>
    <row r="21">
      <c r="A21" s="7" t="inlineStr">
        <is>
          <t>静态经营现金流（净利+折旧）</t>
        </is>
      </c>
      <c r="B21" s="64">
        <f>IF('06人流模型'!B6&lt;=0,0,B18+B14)</f>
        <v/>
      </c>
      <c r="C21" s="64">
        <f>IF('06人流模型'!C6&lt;=0,0,C18+C14)</f>
        <v/>
      </c>
      <c r="D21" s="65">
        <f>IF('06人流模型'!D6&lt;=0,0,D18+D14)</f>
        <v/>
      </c>
      <c r="E21" s="65">
        <f>IF('06人流模型'!E6&lt;=0,0,E18+E14)</f>
        <v/>
      </c>
      <c r="F21" s="65">
        <f>IF('06人流模型'!F6&lt;=0,0,F18+F14)</f>
        <v/>
      </c>
      <c r="G21" s="65">
        <f>IF('06人流模型'!G6&lt;=0,0,G18+G14)</f>
        <v/>
      </c>
      <c r="H21" s="65">
        <f>IF('06人流模型'!H6&lt;=0,0,H18+H14)</f>
        <v/>
      </c>
      <c r="I21" s="65">
        <f>IF('06人流模型'!I6&lt;=0,0,I18+I14)</f>
        <v/>
      </c>
      <c r="J21" s="65">
        <f>IF('06人流模型'!J6&lt;=0,0,J18+J14)</f>
        <v/>
      </c>
      <c r="K21" s="65">
        <f>IF('06人流模型'!K6&lt;=0,0,K18+K14)</f>
        <v/>
      </c>
      <c r="L21" s="65">
        <f>IF('06人流模型'!L6&lt;=0,0,L18+L14)</f>
        <v/>
      </c>
      <c r="M21" s="65">
        <f>IF('06人流模型'!M6&lt;=0,0,M18+M14)</f>
        <v/>
      </c>
      <c r="N21" s="65">
        <f>IF('06人流模型'!N6&lt;=0,0,N18+N14)</f>
        <v/>
      </c>
      <c r="O21" s="65">
        <f>IF('06人流模型'!O6&lt;=0,0,O18+O14)</f>
        <v/>
      </c>
      <c r="P21" s="65">
        <f>IF('06人流模型'!P6&lt;=0,0,P18+P14)</f>
        <v/>
      </c>
      <c r="Q21" s="65">
        <f>IF('06人流模型'!Q6&lt;=0,0,Q18+Q14)</f>
        <v/>
      </c>
      <c r="R21" s="65">
        <f>IF('06人流模型'!R6&lt;=0,0,R18+R14)</f>
        <v/>
      </c>
      <c r="S21" s="65">
        <f>IF('06人流模型'!S6&lt;=0,0,S18+S14)</f>
        <v/>
      </c>
    </row>
    <row r="22">
      <c r="A22" s="7" t="inlineStr">
        <is>
          <t>累计静态经营现金流</t>
        </is>
      </c>
      <c r="B22" s="64">
        <f>B21</f>
        <v/>
      </c>
      <c r="C22" s="64">
        <f>B22+C21</f>
        <v/>
      </c>
      <c r="D22" s="65">
        <f>C22+D21</f>
        <v/>
      </c>
      <c r="E22" s="65">
        <f>D22+E21</f>
        <v/>
      </c>
      <c r="F22" s="65">
        <f>E22+F21</f>
        <v/>
      </c>
      <c r="G22" s="65">
        <f>F22+G21</f>
        <v/>
      </c>
      <c r="H22" s="65">
        <f>G22+H21</f>
        <v/>
      </c>
      <c r="I22" s="65">
        <f>H22+I21</f>
        <v/>
      </c>
      <c r="J22" s="65">
        <f>I22+J21</f>
        <v/>
      </c>
      <c r="K22" s="65">
        <f>J22+K21</f>
        <v/>
      </c>
      <c r="L22" s="65">
        <f>K22+L21</f>
        <v/>
      </c>
      <c r="M22" s="65">
        <f>L22+M21</f>
        <v/>
      </c>
      <c r="N22" s="65">
        <f>M22+N21</f>
        <v/>
      </c>
      <c r="O22" s="65">
        <f>N22+O21</f>
        <v/>
      </c>
      <c r="P22" s="65">
        <f>O22+P21</f>
        <v/>
      </c>
      <c r="Q22" s="65">
        <f>P22+Q21</f>
        <v/>
      </c>
      <c r="R22" s="65">
        <f>Q22+R21</f>
        <v/>
      </c>
      <c r="S22" s="65">
        <f>R22+S21</f>
        <v/>
      </c>
    </row>
    <row r="23">
      <c r="A23" s="11" t="inlineStr">
        <is>
          <t>项目自由现金流</t>
        </is>
      </c>
      <c r="B23" s="64">
        <f>B21+B20-B19</f>
        <v/>
      </c>
      <c r="C23" s="64">
        <f>C21+C20-C19</f>
        <v/>
      </c>
      <c r="D23" s="65">
        <f>D21+D20-D19</f>
        <v/>
      </c>
      <c r="E23" s="65">
        <f>E21+E20-E19</f>
        <v/>
      </c>
      <c r="F23" s="65">
        <f>F21+F20-F19</f>
        <v/>
      </c>
      <c r="G23" s="65">
        <f>G21+G20-G19</f>
        <v/>
      </c>
      <c r="H23" s="65">
        <f>H21+H20-H19</f>
        <v/>
      </c>
      <c r="I23" s="65">
        <f>I21+I20-I19</f>
        <v/>
      </c>
      <c r="J23" s="65">
        <f>J21+J20-J19</f>
        <v/>
      </c>
      <c r="K23" s="65">
        <f>K21+K20-K19</f>
        <v/>
      </c>
      <c r="L23" s="65">
        <f>L21+L20-L19</f>
        <v/>
      </c>
      <c r="M23" s="65">
        <f>M21+M20-M19</f>
        <v/>
      </c>
      <c r="N23" s="65">
        <f>N21+N20-N19</f>
        <v/>
      </c>
      <c r="O23" s="65">
        <f>O21+O20-O19</f>
        <v/>
      </c>
      <c r="P23" s="65">
        <f>P21+P20-P19</f>
        <v/>
      </c>
      <c r="Q23" s="65">
        <f>Q21+Q20-Q19</f>
        <v/>
      </c>
      <c r="R23" s="65">
        <f>R21+R20-R19</f>
        <v/>
      </c>
      <c r="S23" s="65">
        <f>S21+S20-S19</f>
        <v/>
      </c>
    </row>
    <row r="24">
      <c r="A24" s="11" t="inlineStr">
        <is>
          <t>累计自由现金流</t>
        </is>
      </c>
      <c r="B24" s="64">
        <f>B23</f>
        <v/>
      </c>
      <c r="C24" s="64">
        <f>B24+C23</f>
        <v/>
      </c>
      <c r="D24" s="65">
        <f>C24+D23</f>
        <v/>
      </c>
      <c r="E24" s="65">
        <f>D24+E23</f>
        <v/>
      </c>
      <c r="F24" s="65">
        <f>E24+F23</f>
        <v/>
      </c>
      <c r="G24" s="65">
        <f>F24+G23</f>
        <v/>
      </c>
      <c r="H24" s="65">
        <f>G24+H23</f>
        <v/>
      </c>
      <c r="I24" s="65">
        <f>H24+I23</f>
        <v/>
      </c>
      <c r="J24" s="65">
        <f>I24+J23</f>
        <v/>
      </c>
      <c r="K24" s="65">
        <f>J24+K23</f>
        <v/>
      </c>
      <c r="L24" s="65">
        <f>K24+L23</f>
        <v/>
      </c>
      <c r="M24" s="65">
        <f>L24+M23</f>
        <v/>
      </c>
      <c r="N24" s="65">
        <f>M24+N23</f>
        <v/>
      </c>
      <c r="O24" s="65">
        <f>N24+O23</f>
        <v/>
      </c>
      <c r="P24" s="65">
        <f>O24+P23</f>
        <v/>
      </c>
      <c r="Q24" s="65">
        <f>P24+Q23</f>
        <v/>
      </c>
      <c r="R24" s="65">
        <f>Q24+R23</f>
        <v/>
      </c>
      <c r="S24" s="65">
        <f>R24+S23</f>
        <v/>
      </c>
    </row>
    <row r="25">
      <c r="A25" s="11" t="inlineStr">
        <is>
          <t>贷款余额</t>
        </is>
      </c>
      <c r="B25" s="64">
        <f>贷款本金</f>
        <v/>
      </c>
      <c r="C25" s="64">
        <f>MAX(B25-C19,0)</f>
        <v/>
      </c>
      <c r="D25" s="65">
        <f>MAX(C25-D19,0)</f>
        <v/>
      </c>
      <c r="E25" s="65">
        <f>MAX(D25-E19,0)</f>
        <v/>
      </c>
      <c r="F25" s="65">
        <f>MAX(E25-F19,0)</f>
        <v/>
      </c>
      <c r="G25" s="65">
        <f>MAX(F25-G19,0)</f>
        <v/>
      </c>
      <c r="H25" s="65">
        <f>MAX(G25-H19,0)</f>
        <v/>
      </c>
      <c r="I25" s="65">
        <f>MAX(H25-I19,0)</f>
        <v/>
      </c>
      <c r="J25" s="65">
        <f>MAX(I25-J19,0)</f>
        <v/>
      </c>
      <c r="K25" s="65">
        <f>MAX(J25-K19,0)</f>
        <v/>
      </c>
      <c r="L25" s="65">
        <f>MAX(K25-L19,0)</f>
        <v/>
      </c>
      <c r="M25" s="65">
        <f>MAX(L25-M19,0)</f>
        <v/>
      </c>
      <c r="N25" s="65">
        <f>MAX(M25-N19,0)</f>
        <v/>
      </c>
      <c r="O25" s="65">
        <f>MAX(N25-O19,0)</f>
        <v/>
      </c>
      <c r="P25" s="65">
        <f>MAX(O25-P19,0)</f>
        <v/>
      </c>
      <c r="Q25" s="65">
        <f>MAX(P25-Q19,0)</f>
        <v/>
      </c>
      <c r="R25" s="65">
        <f>MAX(Q25-R19,0)</f>
        <v/>
      </c>
      <c r="S25" s="65">
        <f>MAX(R25-S19,0)</f>
        <v/>
      </c>
    </row>
    <row r="28">
      <c r="A28" s="23" t="inlineStr">
        <is>
          <t>回收与利润约束</t>
        </is>
      </c>
    </row>
    <row r="29">
      <c r="A29" s="10" t="inlineStr">
        <is>
          <t>指标</t>
        </is>
      </c>
      <c r="B29" s="10" t="inlineStr">
        <is>
          <t>公式/口径</t>
        </is>
      </c>
      <c r="C29" s="10" t="inlineStr">
        <is>
          <t>结果</t>
        </is>
      </c>
      <c r="D29" s="10" t="inlineStr">
        <is>
          <t>目标</t>
        </is>
      </c>
      <c r="E29" s="10" t="inlineStr">
        <is>
          <t>状态</t>
        </is>
      </c>
    </row>
    <row r="30">
      <c r="A30" s="8" t="inlineStr">
        <is>
          <t>第3–18年利润总额合计</t>
        </is>
      </c>
      <c r="B30" s="8" t="inlineStr">
        <is>
          <t>SUM 第3年至第18年利润总额</t>
        </is>
      </c>
      <c r="C30" s="20">
        <f>SUM(D16:S16)</f>
        <v/>
      </c>
      <c r="D30" s="79" t="n"/>
      <c r="E30" s="79" t="n"/>
    </row>
    <row r="31">
      <c r="A31" s="8" t="inlineStr">
        <is>
          <t>第3–18年年均利润总额</t>
        </is>
      </c>
      <c r="B31" s="8" t="inlineStr">
        <is>
          <t>合计/16</t>
        </is>
      </c>
      <c r="C31" s="20">
        <f>C30/16</f>
        <v/>
      </c>
      <c r="D31" s="80" t="n">
        <v>3000</v>
      </c>
      <c r="E31" s="79">
        <f>IF(C31&gt;=D31,"达标","未达标")</f>
        <v/>
      </c>
    </row>
    <row r="32">
      <c r="A32" s="8" t="inlineStr">
        <is>
          <t>第3–18年最低利润总额</t>
        </is>
      </c>
      <c r="B32" s="8" t="inlineStr">
        <is>
          <t>MIN</t>
        </is>
      </c>
      <c r="C32" s="20">
        <f>MIN(D16:S16)</f>
        <v/>
      </c>
      <c r="D32" s="62" t="n">
        <v>3000</v>
      </c>
      <c r="E32" s="79">
        <f>IF(C32&gt;=D32,"达标","关注")</f>
        <v/>
      </c>
    </row>
    <row r="33">
      <c r="A33" s="8" t="inlineStr">
        <is>
          <t>第3–18年年均净利润</t>
        </is>
      </c>
      <c r="B33" s="79" t="n"/>
      <c r="C33" s="20">
        <f>AVERAGE(D18:S18)</f>
        <v/>
      </c>
      <c r="D33" s="79" t="n"/>
      <c r="E33" s="79" t="n"/>
    </row>
    <row r="34">
      <c r="A34" s="8" t="inlineStr">
        <is>
          <t>经营期静态回收期（年）</t>
        </is>
      </c>
      <c r="B34" s="8" t="inlineStr">
        <is>
          <t>累计静态经营现金流首次≥总投资，自开业起算</t>
        </is>
      </c>
      <c r="C34" s="20">
        <f>IF(D22&gt;=总投资,1,IF(E22&gt;=总投资,1+(总投资-D22)/E21,IF(F22&gt;=总投资,2+(总投资-E22)/F21,IF(G22&gt;=总投资,3+(总投资-F22)/G21,"超过3年"))))</f>
        <v/>
      </c>
      <c r="D34" s="62" t="n">
        <v>3</v>
      </c>
      <c r="E34" s="79">
        <f>IF(AND(ISNUMBER(C34),C34&lt;=D34),"达标","未达标")</f>
        <v/>
      </c>
    </row>
    <row r="35">
      <c r="A35" s="8" t="inlineStr">
        <is>
          <t>含建设期累计转正年份</t>
        </is>
      </c>
      <c r="B35" s="79" t="n"/>
      <c r="C35" s="20">
        <f>MATCH(TRUE,INDEX(B24:S24&gt;=0,0),0)</f>
        <v/>
      </c>
      <c r="D35" s="79" t="n"/>
      <c r="E35" s="79" t="n"/>
    </row>
    <row r="36">
      <c r="A36" s="8" t="inlineStr">
        <is>
          <t>总投资</t>
        </is>
      </c>
      <c r="B36" s="79" t="n"/>
      <c r="C36" s="20">
        <f>总投资</f>
        <v/>
      </c>
      <c r="D36" s="79" t="n"/>
      <c r="E36" s="79" t="n"/>
    </row>
  </sheetData>
  <mergeCells count="3">
    <mergeCell ref="A1:T1"/>
    <mergeCell ref="A28:D28"/>
    <mergeCell ref="A2:T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L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" t="inlineStr">
        <is>
          <t>容量与合理性校验｜达产年公园收入不得突破合理上限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4">
      <c r="A4" s="4" t="inlineStr">
        <is>
          <t>经营项目</t>
        </is>
      </c>
      <c r="B4" s="4" t="inlineStr">
        <is>
          <t>容量单位</t>
        </is>
      </c>
      <c r="C4" s="4" t="inlineStr">
        <is>
          <t>容量</t>
        </is>
      </c>
      <c r="D4" s="4" t="inlineStr">
        <is>
          <t>日周转/场次</t>
        </is>
      </c>
      <c r="E4" s="4" t="inlineStr">
        <is>
          <t>年天数</t>
        </is>
      </c>
      <c r="F4" s="4" t="inlineStr">
        <is>
          <t>利用率</t>
        </is>
      </c>
      <c r="G4" s="4" t="inlineStr">
        <is>
          <t>客单(元)</t>
        </is>
      </c>
      <c r="H4" s="4" t="inlineStr">
        <is>
          <t>合理GMV上限</t>
        </is>
      </c>
      <c r="I4" s="4" t="inlineStr">
        <is>
          <t>公园分成</t>
        </is>
      </c>
      <c r="J4" s="4" t="inlineStr">
        <is>
          <t>公园收入上限</t>
        </is>
      </c>
      <c r="K4" s="4" t="inlineStr">
        <is>
          <t>达产目标</t>
        </is>
      </c>
      <c r="L4" s="4" t="inlineStr">
        <is>
          <t>目标/上限</t>
        </is>
      </c>
    </row>
    <row r="5">
      <c r="A5" s="8" t="inlineStr">
        <is>
          <t>玉皇山大马戏</t>
        </is>
      </c>
      <c r="B5" s="8" t="inlineStr">
        <is>
          <t>座位</t>
        </is>
      </c>
      <c r="C5" s="54" t="n">
        <v>600</v>
      </c>
      <c r="D5" s="35" t="n">
        <v>2</v>
      </c>
      <c r="E5" s="54" t="n">
        <v>240</v>
      </c>
      <c r="F5" s="81" t="n">
        <v>0.7</v>
      </c>
      <c r="G5" s="35" t="n">
        <v>62</v>
      </c>
      <c r="H5" s="15">
        <f>C5*D5*E5*F5*G5/10000</f>
        <v/>
      </c>
      <c r="I5" s="81" t="n">
        <v>0.2</v>
      </c>
      <c r="J5" s="12">
        <f>H5*I5</f>
        <v/>
      </c>
      <c r="K5" s="18">
        <f>IFERROR(INDEX(收入测算!$F$5:$F$40,MATCH(A5,收入测算!$B$5:$B$40,0)),0)</f>
        <v/>
      </c>
      <c r="L5" s="19">
        <f>IF(J5=0,0,K5/J5)</f>
        <v/>
      </c>
    </row>
    <row r="6">
      <c r="A6" s="8" t="inlineStr">
        <is>
          <t>超级宝贝王</t>
        </is>
      </c>
      <c r="B6" s="8" t="inlineStr">
        <is>
          <t>年接待人次</t>
        </is>
      </c>
      <c r="C6" s="54" t="n">
        <v>400000</v>
      </c>
      <c r="D6" s="35" t="n">
        <v>1</v>
      </c>
      <c r="E6" s="54" t="n">
        <v>1</v>
      </c>
      <c r="F6" s="81" t="n">
        <v>1</v>
      </c>
      <c r="G6" s="35" t="n">
        <v>48</v>
      </c>
      <c r="H6" s="15">
        <f>C6*G6/10000+C6*0.32*18/10000</f>
        <v/>
      </c>
      <c r="I6" s="81" t="n">
        <v>1</v>
      </c>
      <c r="J6" s="12">
        <f>H6*I6</f>
        <v/>
      </c>
      <c r="K6" s="18">
        <f>IFERROR(INDEX(收入测算!$F$5:$F$40,MATCH(A6,收入测算!$B$5:$B$40,0)),0)</f>
        <v/>
      </c>
      <c r="L6" s="19">
        <f>IF(J6=0,0,K6/J6)</f>
        <v/>
      </c>
    </row>
    <row r="7">
      <c r="A7" s="8" t="inlineStr">
        <is>
          <t>土特产伴手礼</t>
        </is>
      </c>
      <c r="B7" s="8" t="inlineStr">
        <is>
          <t>全园游客</t>
        </is>
      </c>
      <c r="C7" s="54" t="n">
        <v>750000</v>
      </c>
      <c r="D7" s="35" t="n">
        <v>1</v>
      </c>
      <c r="E7" s="54" t="n">
        <v>1</v>
      </c>
      <c r="F7" s="81" t="n">
        <v>0.2</v>
      </c>
      <c r="G7" s="35" t="n">
        <v>55</v>
      </c>
      <c r="H7" s="15">
        <f>C7*D7*E7*F7*G7/10000</f>
        <v/>
      </c>
      <c r="I7" s="81" t="n">
        <v>1</v>
      </c>
      <c r="J7" s="12">
        <f>H7*I7</f>
        <v/>
      </c>
      <c r="K7" s="18">
        <f>IFERROR(INDEX(收入测算!$F$5:$F$40,MATCH(A7,收入测算!$B$5:$B$40,0)),0)</f>
        <v/>
      </c>
      <c r="L7" s="19">
        <f>IF(J7=0,0,K7/J7)</f>
        <v/>
      </c>
    </row>
    <row r="8">
      <c r="A8" s="8" t="inlineStr">
        <is>
          <t>动物萌宠互动</t>
        </is>
      </c>
      <c r="B8" s="8" t="inlineStr">
        <is>
          <t>日接待</t>
        </is>
      </c>
      <c r="C8" s="54" t="n">
        <v>350</v>
      </c>
      <c r="D8" s="35" t="n">
        <v>1</v>
      </c>
      <c r="E8" s="54" t="n">
        <v>220</v>
      </c>
      <c r="F8" s="81" t="n">
        <v>0.7</v>
      </c>
      <c r="G8" s="35" t="n">
        <v>25</v>
      </c>
      <c r="H8" s="15">
        <f>C8*D8*E8*F8*G8/10000</f>
        <v/>
      </c>
      <c r="I8" s="81" t="n">
        <v>0.4</v>
      </c>
      <c r="J8" s="12">
        <f>H8*I8</f>
        <v/>
      </c>
      <c r="K8" s="18">
        <f>IFERROR(INDEX(收入测算!$F$5:$F$40,MATCH(A8,收入测算!$B$5:$B$40,0)),0)</f>
        <v/>
      </c>
      <c r="L8" s="19">
        <f>IF(J8=0,0,K8/J8)</f>
        <v/>
      </c>
    </row>
    <row r="9">
      <c r="A9" s="8" t="inlineStr">
        <is>
          <t>湖畔影院</t>
        </is>
      </c>
      <c r="B9" s="8" t="inlineStr">
        <is>
          <t>座位</t>
        </is>
      </c>
      <c r="C9" s="54" t="n">
        <v>160</v>
      </c>
      <c r="D9" s="35" t="n">
        <v>2.2</v>
      </c>
      <c r="E9" s="54" t="n">
        <v>250</v>
      </c>
      <c r="F9" s="81" t="n">
        <v>0.7</v>
      </c>
      <c r="G9" s="35" t="n">
        <v>32</v>
      </c>
      <c r="H9" s="15">
        <f>C9*D9*E9*F9*G9/10000</f>
        <v/>
      </c>
      <c r="I9" s="81" t="n">
        <v>0.6</v>
      </c>
      <c r="J9" s="12">
        <f>H9*I9</f>
        <v/>
      </c>
      <c r="K9" s="18">
        <f>IFERROR(INDEX(收入测算!$F$5:$F$40,MATCH(A9,收入测算!$B$5:$B$40,0)),0)</f>
        <v/>
      </c>
      <c r="L9" s="19">
        <f>IF(J9=0,0,K9/J9)</f>
        <v/>
      </c>
    </row>
    <row r="10">
      <c r="A10" s="8" t="inlineStr">
        <is>
          <t>青年街区</t>
        </is>
      </c>
      <c r="B10" s="8" t="inlineStr">
        <is>
          <t>经营面积㎡</t>
        </is>
      </c>
      <c r="C10" s="54" t="n">
        <v>500</v>
      </c>
      <c r="D10" s="35" t="n">
        <v>1</v>
      </c>
      <c r="E10" s="54" t="n">
        <v>365</v>
      </c>
      <c r="F10" s="81" t="n">
        <v>0.95</v>
      </c>
      <c r="G10" s="35" t="n">
        <v>6.8</v>
      </c>
      <c r="H10" s="15">
        <f>C10*G10*E10*F10/10000</f>
        <v/>
      </c>
      <c r="I10" s="81" t="n">
        <v>1</v>
      </c>
      <c r="J10" s="12">
        <f>H10*I10</f>
        <v/>
      </c>
      <c r="K10" s="18">
        <f>IFERROR(INDEX(收入测算!$F$5:$F$40,MATCH(A10,收入测算!$B$5:$B$40,0)),0)</f>
        <v/>
      </c>
      <c r="L10" s="19">
        <f>IF(J10=0,0,K10/J10)</f>
        <v/>
      </c>
    </row>
    <row r="11">
      <c r="A11" s="8" t="inlineStr">
        <is>
          <t>茶屋氧吧</t>
        </is>
      </c>
      <c r="B11" s="8" t="inlineStr">
        <is>
          <t>座位</t>
        </is>
      </c>
      <c r="C11" s="54" t="n">
        <v>160</v>
      </c>
      <c r="D11" s="35" t="n">
        <v>3.5</v>
      </c>
      <c r="E11" s="54" t="n">
        <v>330</v>
      </c>
      <c r="F11" s="81" t="n">
        <v>0.75</v>
      </c>
      <c r="G11" s="35" t="n">
        <v>80</v>
      </c>
      <c r="H11" s="15">
        <f>C11*D11*E11*F11*G11/10000</f>
        <v/>
      </c>
      <c r="I11" s="81" t="n">
        <v>1</v>
      </c>
      <c r="J11" s="12">
        <f>H11*I11</f>
        <v/>
      </c>
      <c r="K11" s="18">
        <f>IFERROR(INDEX(收入测算!$F$5:$F$40,MATCH(A11,收入测算!$B$5:$B$40,0)),0)</f>
        <v/>
      </c>
      <c r="L11" s="19">
        <f>IF(J11=0,0,K11/J11)</f>
        <v/>
      </c>
    </row>
    <row r="12">
      <c r="A12" s="8" t="inlineStr">
        <is>
          <t>素食餐厅</t>
        </is>
      </c>
      <c r="B12" s="8" t="inlineStr">
        <is>
          <t>座位</t>
        </is>
      </c>
      <c r="C12" s="54" t="n">
        <v>180</v>
      </c>
      <c r="D12" s="35" t="n">
        <v>3.5</v>
      </c>
      <c r="E12" s="54" t="n">
        <v>310</v>
      </c>
      <c r="F12" s="81" t="n">
        <v>0.8</v>
      </c>
      <c r="G12" s="35" t="n">
        <v>88</v>
      </c>
      <c r="H12" s="15">
        <f>C12*D12*E12*F12*G12/10000</f>
        <v/>
      </c>
      <c r="I12" s="81" t="n">
        <v>0.2</v>
      </c>
      <c r="J12" s="12">
        <f>H12*I12</f>
        <v/>
      </c>
      <c r="K12" s="18">
        <f>IFERROR(INDEX(收入测算!$F$5:$F$40,MATCH(A12,收入测算!$B$5:$B$40,0)),0)</f>
        <v/>
      </c>
      <c r="L12" s="19">
        <f>IF(J12=0,0,K12/J12)</f>
        <v/>
      </c>
    </row>
    <row r="13">
      <c r="A13" s="8" t="inlineStr">
        <is>
          <t>庙会/市集</t>
        </is>
      </c>
      <c r="B13" s="8" t="inlineStr">
        <is>
          <t>摊位日</t>
        </is>
      </c>
      <c r="C13" s="54" t="n">
        <v>60</v>
      </c>
      <c r="D13" s="35" t="n">
        <v>1</v>
      </c>
      <c r="E13" s="54" t="n">
        <v>40</v>
      </c>
      <c r="F13" s="81" t="n">
        <v>0.9</v>
      </c>
      <c r="G13" s="35" t="n">
        <v>1500</v>
      </c>
      <c r="H13" s="15">
        <f>C13*D13*E13*F13*G13/10000</f>
        <v/>
      </c>
      <c r="I13" s="81" t="n">
        <v>1</v>
      </c>
      <c r="J13" s="12">
        <f>H13*I13</f>
        <v/>
      </c>
      <c r="K13" s="18">
        <f>IFERROR(INDEX(收入测算!$F$5:$F$40,MATCH(A13,收入测算!$B$5:$B$40,0)),0)</f>
        <v/>
      </c>
      <c r="L13" s="19">
        <f>IF(J13=0,0,K13/J13)</f>
        <v/>
      </c>
    </row>
    <row r="14">
      <c r="A14" s="8" t="inlineStr">
        <is>
          <t>婚礼花园</t>
        </is>
      </c>
      <c r="B14" s="8" t="inlineStr">
        <is>
          <t>经营日</t>
        </is>
      </c>
      <c r="C14" s="54" t="n">
        <v>1</v>
      </c>
      <c r="D14" s="35" t="n">
        <v>1</v>
      </c>
      <c r="E14" s="54" t="n">
        <v>90</v>
      </c>
      <c r="F14" s="81" t="n">
        <v>0.8</v>
      </c>
      <c r="G14" s="35" t="n">
        <v>24000</v>
      </c>
      <c r="H14" s="15">
        <f>C14*D14*E14*F14*G14/10000</f>
        <v/>
      </c>
      <c r="I14" s="81" t="n">
        <v>1</v>
      </c>
      <c r="J14" s="12">
        <f>H14*I14</f>
        <v/>
      </c>
      <c r="K14" s="18">
        <f>IFERROR(INDEX(收入测算!$F$5:$F$40,MATCH(A14,收入测算!$B$5:$B$40,0)),0)</f>
        <v/>
      </c>
      <c r="L14" s="19">
        <f>IF(J14=0,0,K14/J14)</f>
        <v/>
      </c>
    </row>
    <row r="15">
      <c r="A15" s="8" t="inlineStr">
        <is>
          <t>森林剧场</t>
        </is>
      </c>
      <c r="B15" s="8" t="inlineStr">
        <is>
          <t>座位</t>
        </is>
      </c>
      <c r="C15" s="54" t="n">
        <v>300</v>
      </c>
      <c r="D15" s="35" t="n">
        <v>2</v>
      </c>
      <c r="E15" s="54" t="n">
        <v>200</v>
      </c>
      <c r="F15" s="81" t="n">
        <v>0.7</v>
      </c>
      <c r="G15" s="35" t="n">
        <v>58</v>
      </c>
      <c r="H15" s="15">
        <f>C15*D15*E15*F15*G15/10000</f>
        <v/>
      </c>
      <c r="I15" s="81" t="n">
        <v>0.6</v>
      </c>
      <c r="J15" s="12">
        <f>H15*I15</f>
        <v/>
      </c>
      <c r="K15" s="18">
        <f>IFERROR(INDEX(收入测算!$F$5:$F$40,MATCH(A15,收入测算!$B$5:$B$40,0)),0)</f>
        <v/>
      </c>
      <c r="L15" s="19">
        <f>IF(J15=0,0,K15/J15)</f>
        <v/>
      </c>
    </row>
    <row r="16">
      <c r="A16" s="8" t="inlineStr">
        <is>
          <t>悬崖咖啡</t>
        </is>
      </c>
      <c r="B16" s="8" t="inlineStr">
        <is>
          <t>座位</t>
        </is>
      </c>
      <c r="C16" s="54" t="n">
        <v>80</v>
      </c>
      <c r="D16" s="35" t="n">
        <v>4</v>
      </c>
      <c r="E16" s="54" t="n">
        <v>330</v>
      </c>
      <c r="F16" s="81" t="n">
        <v>0.75</v>
      </c>
      <c r="G16" s="35" t="n">
        <v>58</v>
      </c>
      <c r="H16" s="15">
        <f>C16*D16*E16*F16*G16/10000</f>
        <v/>
      </c>
      <c r="I16" s="81" t="n">
        <v>0.2</v>
      </c>
      <c r="J16" s="12">
        <f>H16*I16</f>
        <v/>
      </c>
      <c r="K16" s="18">
        <f>IFERROR(INDEX(收入测算!$F$5:$F$40,MATCH(A16,收入测算!$B$5:$B$40,0)),0)</f>
        <v/>
      </c>
      <c r="L16" s="19">
        <f>IF(J16=0,0,K16/J16)</f>
        <v/>
      </c>
    </row>
    <row r="17">
      <c r="A17" s="8" t="inlineStr">
        <is>
          <t>树屋及星空露营</t>
        </is>
      </c>
      <c r="B17" s="8" t="inlineStr">
        <is>
          <t>单元夜</t>
        </is>
      </c>
      <c r="C17" s="54" t="n">
        <v>40</v>
      </c>
      <c r="D17" s="35" t="n">
        <v>1</v>
      </c>
      <c r="E17" s="54" t="n">
        <v>180</v>
      </c>
      <c r="F17" s="81" t="n">
        <v>0.55</v>
      </c>
      <c r="G17" s="35" t="n">
        <v>280</v>
      </c>
      <c r="H17" s="15">
        <f>C17*D17*E17*F17*G17/10000</f>
        <v/>
      </c>
      <c r="I17" s="81" t="n">
        <v>0.3</v>
      </c>
      <c r="J17" s="12">
        <f>H17*I17</f>
        <v/>
      </c>
      <c r="K17" s="18">
        <f>IFERROR(INDEX(收入测算!$F$5:$F$40,MATCH(A17,收入测算!$B$5:$B$40,0)),0)</f>
        <v/>
      </c>
      <c r="L17" s="19">
        <f>IF(J17=0,0,K17/J17)</f>
        <v/>
      </c>
    </row>
    <row r="18">
      <c r="A18" s="8" t="inlineStr">
        <is>
          <t>山洞酒庄</t>
        </is>
      </c>
      <c r="B18" s="8" t="inlineStr">
        <is>
          <t>日接待</t>
        </is>
      </c>
      <c r="C18" s="54" t="n">
        <v>180</v>
      </c>
      <c r="D18" s="35" t="n">
        <v>1</v>
      </c>
      <c r="E18" s="54" t="n">
        <v>220</v>
      </c>
      <c r="F18" s="81" t="n">
        <v>0.45</v>
      </c>
      <c r="G18" s="35" t="n">
        <v>42</v>
      </c>
      <c r="H18" s="15">
        <f>C18*D18*E18*F18*G18/10000</f>
        <v/>
      </c>
      <c r="I18" s="81" t="n">
        <v>1</v>
      </c>
      <c r="J18" s="12">
        <f>H18*I18</f>
        <v/>
      </c>
      <c r="K18" s="18">
        <f>IFERROR(INDEX(收入测算!$F$5:$F$40,MATCH(A18,收入测算!$B$5:$B$40,0)),0)</f>
        <v/>
      </c>
      <c r="L18" s="19">
        <f>IF(J18=0,0,K18/J18)</f>
        <v/>
      </c>
    </row>
    <row r="19">
      <c r="A19" s="8" t="inlineStr">
        <is>
          <t>公园旅拍</t>
        </is>
      </c>
      <c r="B19" s="8" t="inlineStr">
        <is>
          <t>摄影团队</t>
        </is>
      </c>
      <c r="C19" s="54" t="n">
        <v>6</v>
      </c>
      <c r="D19" s="35" t="n">
        <v>3</v>
      </c>
      <c r="E19" s="54" t="n">
        <v>220</v>
      </c>
      <c r="F19" s="81" t="n">
        <v>0.75</v>
      </c>
      <c r="G19" s="35" t="n">
        <v>380</v>
      </c>
      <c r="H19" s="15">
        <f>C19*D19*E19*F19*G19/10000</f>
        <v/>
      </c>
      <c r="I19" s="81" t="n">
        <v>0.4</v>
      </c>
      <c r="J19" s="12">
        <f>H19*I19</f>
        <v/>
      </c>
      <c r="K19" s="18">
        <f>IFERROR(INDEX(收入测算!$F$5:$F$40,MATCH(A19,收入测算!$B$5:$B$40,0)),0)</f>
        <v/>
      </c>
      <c r="L19" s="19">
        <f>IF(J19=0,0,K19/J19)</f>
        <v/>
      </c>
    </row>
    <row r="20">
      <c r="A20" s="8" t="inlineStr">
        <is>
          <t>园区交通</t>
        </is>
      </c>
      <c r="B20" s="8" t="inlineStr">
        <is>
          <t>车次服务</t>
        </is>
      </c>
      <c r="C20" s="54" t="n">
        <v>8</v>
      </c>
      <c r="D20" s="35" t="n">
        <v>10</v>
      </c>
      <c r="E20" s="54" t="n">
        <v>280</v>
      </c>
      <c r="F20" s="81" t="n">
        <v>0.7</v>
      </c>
      <c r="G20" s="35" t="n">
        <v>12</v>
      </c>
      <c r="H20" s="15">
        <f>C20*D20*E20*F20*G20/10000</f>
        <v/>
      </c>
      <c r="I20" s="81" t="n">
        <v>1</v>
      </c>
      <c r="J20" s="12">
        <f>H20*I20</f>
        <v/>
      </c>
      <c r="K20" s="18">
        <f>IFERROR(INDEX(收入测算!$F$5:$F$40,MATCH(A20,收入测算!$B$5:$B$40,0)),0)</f>
        <v/>
      </c>
      <c r="L20" s="19">
        <f>IF(J20=0,0,K20/J20)</f>
        <v/>
      </c>
    </row>
    <row r="21">
      <c r="A21" s="8" t="inlineStr">
        <is>
          <t>红色研学/VR展馆</t>
        </is>
      </c>
      <c r="B21" s="8" t="inlineStr">
        <is>
          <t>日学员</t>
        </is>
      </c>
      <c r="C21" s="54" t="n">
        <v>400</v>
      </c>
      <c r="D21" s="35" t="n">
        <v>1</v>
      </c>
      <c r="E21" s="54" t="n">
        <v>180</v>
      </c>
      <c r="F21" s="81" t="n">
        <v>0.8</v>
      </c>
      <c r="G21" s="35" t="n">
        <v>80</v>
      </c>
      <c r="H21" s="15">
        <f>C21*D21*E21*F21*G21/10000</f>
        <v/>
      </c>
      <c r="I21" s="81" t="n">
        <v>1</v>
      </c>
      <c r="J21" s="12">
        <f>H21*I21</f>
        <v/>
      </c>
      <c r="K21" s="18">
        <f>IFERROR(INDEX(收入测算!$F$5:$F$40,MATCH(A21,收入测算!$B$5:$B$40,0)),0)</f>
        <v/>
      </c>
      <c r="L21" s="19">
        <f>IF(J21=0,0,K21/J21)</f>
        <v/>
      </c>
    </row>
    <row r="22">
      <c r="A22" s="8" t="inlineStr">
        <is>
          <t>夜游/主题灯光</t>
        </is>
      </c>
      <c r="B22" s="8" t="inlineStr">
        <is>
          <t>单场容量</t>
        </is>
      </c>
      <c r="C22" s="54" t="n">
        <v>400</v>
      </c>
      <c r="D22" s="35" t="n">
        <v>2</v>
      </c>
      <c r="E22" s="54" t="n">
        <v>180</v>
      </c>
      <c r="F22" s="81" t="n">
        <v>0.75</v>
      </c>
      <c r="G22" s="35" t="n">
        <v>38</v>
      </c>
      <c r="H22" s="15">
        <f>C22*D22*E22*F22*G22/10000</f>
        <v/>
      </c>
      <c r="I22" s="81" t="n">
        <v>1</v>
      </c>
      <c r="J22" s="12">
        <f>H22*I22</f>
        <v/>
      </c>
      <c r="K22" s="18">
        <f>IFERROR(INDEX(收入测算!$F$5:$F$40,MATCH(A22,收入测算!$B$5:$B$40,0)),0)</f>
        <v/>
      </c>
      <c r="L22" s="19">
        <f>IF(J22=0,0,K22/J22)</f>
        <v/>
      </c>
    </row>
    <row r="23">
      <c r="A23" s="8" t="inlineStr">
        <is>
          <t>室内高尔夫</t>
        </is>
      </c>
      <c r="B23" s="8" t="inlineStr">
        <is>
          <t>日接待</t>
        </is>
      </c>
      <c r="C23" s="54" t="n">
        <v>120</v>
      </c>
      <c r="D23" s="35" t="n">
        <v>1</v>
      </c>
      <c r="E23" s="54" t="n">
        <v>280</v>
      </c>
      <c r="F23" s="81" t="n">
        <v>0.5</v>
      </c>
      <c r="G23" s="35" t="n">
        <v>80</v>
      </c>
      <c r="H23" s="15">
        <f>C23*D23*E23*F23*G23/10000</f>
        <v/>
      </c>
      <c r="I23" s="81" t="n">
        <v>0.3</v>
      </c>
      <c r="J23" s="12">
        <f>H23*I23</f>
        <v/>
      </c>
      <c r="K23" s="18">
        <f>IFERROR(INDEX(收入测算!$F$5:$F$40,MATCH(A23,收入测算!$B$5:$B$40,0)),0)</f>
        <v/>
      </c>
      <c r="L23" s="19">
        <f>IF(J23=0,0,K23/J23)</f>
        <v/>
      </c>
    </row>
    <row r="24">
      <c r="A24" s="8" t="inlineStr">
        <is>
          <t>花海摄影</t>
        </is>
      </c>
      <c r="B24" s="8" t="inlineStr">
        <is>
          <t>全园游客</t>
        </is>
      </c>
      <c r="C24" s="54" t="n">
        <v>750000</v>
      </c>
      <c r="D24" s="35" t="n">
        <v>1</v>
      </c>
      <c r="E24" s="54" t="n">
        <v>1</v>
      </c>
      <c r="F24" s="81" t="n">
        <v>0.12</v>
      </c>
      <c r="G24" s="35" t="n">
        <v>18</v>
      </c>
      <c r="H24" s="15">
        <f>C24*D24*E24*F24*G24/10000</f>
        <v/>
      </c>
      <c r="I24" s="81" t="n">
        <v>1</v>
      </c>
      <c r="J24" s="12">
        <f>H24*I24</f>
        <v/>
      </c>
      <c r="K24" s="18">
        <f>IFERROR(INDEX(收入测算!$F$5:$F$40,MATCH(A24,收入测算!$B$5:$B$40,0)),0)</f>
        <v/>
      </c>
      <c r="L24" s="19">
        <f>IF(J24=0,0,K24/J24)</f>
        <v/>
      </c>
    </row>
    <row r="25">
      <c r="A25" s="8" t="inlineStr">
        <is>
          <t>冬季抗联及戏雪</t>
        </is>
      </c>
      <c r="B25" s="8" t="inlineStr">
        <is>
          <t>日接待</t>
        </is>
      </c>
      <c r="C25" s="54" t="n">
        <v>500</v>
      </c>
      <c r="D25" s="35" t="n">
        <v>1</v>
      </c>
      <c r="E25" s="54" t="n">
        <v>90</v>
      </c>
      <c r="F25" s="81" t="n">
        <v>0.55</v>
      </c>
      <c r="G25" s="35" t="n">
        <v>48</v>
      </c>
      <c r="H25" s="15">
        <f>C25*D25*E25*F25*G25/10000</f>
        <v/>
      </c>
      <c r="I25" s="81" t="n">
        <v>0.35</v>
      </c>
      <c r="J25" s="12">
        <f>H25*I25</f>
        <v/>
      </c>
      <c r="K25" s="18">
        <f>IFERROR(INDEX(收入测算!$F$5:$F$40,MATCH(A25,收入测算!$B$5:$B$40,0)),0)</f>
        <v/>
      </c>
      <c r="L25" s="19">
        <f>IF(J25=0,0,K25/J25)</f>
        <v/>
      </c>
    </row>
    <row r="26">
      <c r="A26" s="8" t="inlineStr">
        <is>
          <t>栈道观景打卡</t>
        </is>
      </c>
      <c r="B26" s="8" t="inlineStr">
        <is>
          <t>全园游客</t>
        </is>
      </c>
      <c r="C26" s="54" t="n">
        <v>750000</v>
      </c>
      <c r="D26" s="35" t="n">
        <v>1</v>
      </c>
      <c r="E26" s="54" t="n">
        <v>1</v>
      </c>
      <c r="F26" s="81" t="n">
        <v>0.1</v>
      </c>
      <c r="G26" s="35" t="n">
        <v>16</v>
      </c>
      <c r="H26" s="15">
        <f>C26*D26*E26*F26*G26/10000</f>
        <v/>
      </c>
      <c r="I26" s="81" t="n">
        <v>1</v>
      </c>
      <c r="J26" s="12">
        <f>H26*I26</f>
        <v/>
      </c>
      <c r="K26" s="18">
        <f>IFERROR(INDEX(收入测算!$F$5:$F$40,MATCH(A26,收入测算!$B$5:$B$40,0)),0)</f>
        <v/>
      </c>
      <c r="L26" s="19">
        <f>IF(J26=0,0,K26/J26)</f>
        <v/>
      </c>
    </row>
    <row r="28">
      <c r="A28" s="62" t="inlineStr">
        <is>
          <t>目标/上限≤100%为合理。青年街区、婚礼、市集按租金/场次综合收入理解客单。茶屋上限含保底+餐饮流水，达产目标为租金+分成两行之和时请对照分项。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6" t="n"/>
    </row>
  </sheetData>
  <mergeCells count="3">
    <mergeCell ref="A28:L28"/>
    <mergeCell ref="A2:L2"/>
    <mergeCell ref="A1:L1"/>
  </mergeCells>
  <conditionalFormatting sqref="L5">
    <cfRule type="cellIs" priority="1" operator="greaterThan" dxfId="0">
      <formula>1</formula>
    </cfRule>
    <cfRule type="cellIs" priority="2" operator="lessThanOrEqual" dxfId="1">
      <formula>1</formula>
    </cfRule>
  </conditionalFormatting>
  <conditionalFormatting sqref="L6">
    <cfRule type="cellIs" priority="3" operator="greaterThan" dxfId="0">
      <formula>1</formula>
    </cfRule>
    <cfRule type="cellIs" priority="4" operator="lessThanOrEqual" dxfId="1">
      <formula>1</formula>
    </cfRule>
  </conditionalFormatting>
  <conditionalFormatting sqref="L7">
    <cfRule type="cellIs" priority="5" operator="greaterThan" dxfId="0">
      <formula>1</formula>
    </cfRule>
    <cfRule type="cellIs" priority="6" operator="lessThanOrEqual" dxfId="1">
      <formula>1</formula>
    </cfRule>
  </conditionalFormatting>
  <conditionalFormatting sqref="L8">
    <cfRule type="cellIs" priority="7" operator="greaterThan" dxfId="0">
      <formula>1</formula>
    </cfRule>
    <cfRule type="cellIs" priority="8" operator="lessThanOrEqual" dxfId="1">
      <formula>1</formula>
    </cfRule>
  </conditionalFormatting>
  <conditionalFormatting sqref="L9">
    <cfRule type="cellIs" priority="9" operator="greaterThan" dxfId="0">
      <formula>1</formula>
    </cfRule>
    <cfRule type="cellIs" priority="10" operator="lessThanOrEqual" dxfId="1">
      <formula>1</formula>
    </cfRule>
  </conditionalFormatting>
  <conditionalFormatting sqref="L10">
    <cfRule type="cellIs" priority="11" operator="greaterThan" dxfId="0">
      <formula>1</formula>
    </cfRule>
    <cfRule type="cellIs" priority="12" operator="lessThanOrEqual" dxfId="1">
      <formula>1</formula>
    </cfRule>
  </conditionalFormatting>
  <conditionalFormatting sqref="L11">
    <cfRule type="cellIs" priority="13" operator="greaterThan" dxfId="0">
      <formula>1</formula>
    </cfRule>
    <cfRule type="cellIs" priority="14" operator="lessThanOrEqual" dxfId="1">
      <formula>1</formula>
    </cfRule>
  </conditionalFormatting>
  <conditionalFormatting sqref="L12">
    <cfRule type="cellIs" priority="15" operator="greaterThan" dxfId="0">
      <formula>1</formula>
    </cfRule>
    <cfRule type="cellIs" priority="16" operator="lessThanOrEqual" dxfId="1">
      <formula>1</formula>
    </cfRule>
  </conditionalFormatting>
  <conditionalFormatting sqref="L13">
    <cfRule type="cellIs" priority="17" operator="greaterThan" dxfId="0">
      <formula>1</formula>
    </cfRule>
    <cfRule type="cellIs" priority="18" operator="lessThanOrEqual" dxfId="1">
      <formula>1</formula>
    </cfRule>
  </conditionalFormatting>
  <conditionalFormatting sqref="L14">
    <cfRule type="cellIs" priority="19" operator="greaterThan" dxfId="0">
      <formula>1</formula>
    </cfRule>
    <cfRule type="cellIs" priority="20" operator="lessThanOrEqual" dxfId="1">
      <formula>1</formula>
    </cfRule>
  </conditionalFormatting>
  <conditionalFormatting sqref="L15">
    <cfRule type="cellIs" priority="21" operator="greaterThan" dxfId="0">
      <formula>1</formula>
    </cfRule>
    <cfRule type="cellIs" priority="22" operator="lessThanOrEqual" dxfId="1">
      <formula>1</formula>
    </cfRule>
  </conditionalFormatting>
  <conditionalFormatting sqref="L16">
    <cfRule type="cellIs" priority="23" operator="greaterThan" dxfId="0">
      <formula>1</formula>
    </cfRule>
    <cfRule type="cellIs" priority="24" operator="lessThanOrEqual" dxfId="1">
      <formula>1</formula>
    </cfRule>
  </conditionalFormatting>
  <conditionalFormatting sqref="L17">
    <cfRule type="cellIs" priority="25" operator="greaterThan" dxfId="0">
      <formula>1</formula>
    </cfRule>
    <cfRule type="cellIs" priority="26" operator="lessThanOrEqual" dxfId="1">
      <formula>1</formula>
    </cfRule>
  </conditionalFormatting>
  <conditionalFormatting sqref="L18">
    <cfRule type="cellIs" priority="27" operator="greaterThan" dxfId="0">
      <formula>1</formula>
    </cfRule>
    <cfRule type="cellIs" priority="28" operator="lessThanOrEqual" dxfId="1">
      <formula>1</formula>
    </cfRule>
  </conditionalFormatting>
  <conditionalFormatting sqref="L19">
    <cfRule type="cellIs" priority="29" operator="greaterThan" dxfId="0">
      <formula>1</formula>
    </cfRule>
    <cfRule type="cellIs" priority="30" operator="lessThanOrEqual" dxfId="1">
      <formula>1</formula>
    </cfRule>
  </conditionalFormatting>
  <conditionalFormatting sqref="L20">
    <cfRule type="cellIs" priority="31" operator="greaterThan" dxfId="0">
      <formula>1</formula>
    </cfRule>
    <cfRule type="cellIs" priority="32" operator="lessThanOrEqual" dxfId="1">
      <formula>1</formula>
    </cfRule>
  </conditionalFormatting>
  <conditionalFormatting sqref="L21">
    <cfRule type="cellIs" priority="33" operator="greaterThan" dxfId="0">
      <formula>1</formula>
    </cfRule>
    <cfRule type="cellIs" priority="34" operator="lessThanOrEqual" dxfId="1">
      <formula>1</formula>
    </cfRule>
  </conditionalFormatting>
  <conditionalFormatting sqref="L22">
    <cfRule type="cellIs" priority="35" operator="greaterThan" dxfId="0">
      <formula>1</formula>
    </cfRule>
    <cfRule type="cellIs" priority="36" operator="lessThanOrEqual" dxfId="1">
      <formula>1</formula>
    </cfRule>
  </conditionalFormatting>
  <conditionalFormatting sqref="L23">
    <cfRule type="cellIs" priority="37" operator="greaterThan" dxfId="0">
      <formula>1</formula>
    </cfRule>
    <cfRule type="cellIs" priority="38" operator="lessThanOrEqual" dxfId="1">
      <formula>1</formula>
    </cfRule>
  </conditionalFormatting>
  <conditionalFormatting sqref="L24">
    <cfRule type="cellIs" priority="39" operator="greaterThan" dxfId="0">
      <formula>1</formula>
    </cfRule>
    <cfRule type="cellIs" priority="40" operator="lessThanOrEqual" dxfId="1">
      <formula>1</formula>
    </cfRule>
  </conditionalFormatting>
  <conditionalFormatting sqref="L25">
    <cfRule type="cellIs" priority="41" operator="greaterThan" dxfId="0">
      <formula>1</formula>
    </cfRule>
    <cfRule type="cellIs" priority="42" operator="lessThanOrEqual" dxfId="1">
      <formula>1</formula>
    </cfRule>
  </conditionalFormatting>
  <conditionalFormatting sqref="L26">
    <cfRule type="cellIs" priority="43" operator="greaterThan" dxfId="0">
      <formula>1</formula>
    </cfRule>
    <cfRule type="cellIs" priority="44" operator="lessThanOrEqual" dxfId="1">
      <formula>1</formula>
    </cfRule>
  </conditionalFormatting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24" customWidth="1" min="4" max="4"/>
    <col width="14" customWidth="1" min="5" max="5"/>
    <col width="36" customWidth="1" min="6" max="6"/>
  </cols>
  <sheetData>
    <row r="1" ht="28" customHeight="1">
      <c r="A1" s="1" t="inlineStr">
        <is>
          <t>模型口径、与原表差异、使用限制</t>
        </is>
      </c>
    </row>
    <row r="2" ht="18" customHeight="1">
      <c r="A2" s="2" t="inlineStr">
        <is>
          <t>通化玉皇山公园｜以评估公司概算表5改造投资、表6人流模型为基准｜建设期2年｜经营期第3–18年</t>
        </is>
      </c>
    </row>
    <row r="4">
      <c r="A4" s="4" t="inlineStr">
        <is>
          <t>序号</t>
        </is>
      </c>
      <c r="B4" s="4" t="inlineStr">
        <is>
          <t>主题</t>
        </is>
      </c>
      <c r="C4" s="4" t="inlineStr">
        <is>
          <t>采用口径</t>
        </is>
      </c>
      <c r="D4" s="4" t="inlineStr">
        <is>
          <t>可调整位置</t>
        </is>
      </c>
      <c r="E4" s="4" t="inlineStr">
        <is>
          <t>影响</t>
        </is>
      </c>
      <c r="F4" s="4" t="inlineStr">
        <is>
          <t>说明</t>
        </is>
      </c>
    </row>
    <row r="5" ht="28" customHeight="1">
      <c r="A5" s="8" t="inlineStr">
        <is>
          <t>1</t>
        </is>
      </c>
      <c r="B5" s="8" t="inlineStr">
        <is>
          <t>投资基准</t>
        </is>
      </c>
      <c r="C5" s="8" t="inlineStr">
        <is>
          <t>完整复算表5，总投资≈4,578.46万元</t>
        </is>
      </c>
      <c r="D5" s="8" t="inlineStr">
        <is>
          <t>05投资估算</t>
        </is>
      </c>
      <c r="E5" s="8" t="inlineStr">
        <is>
          <t>改变回收期</t>
        </is>
      </c>
      <c r="F5" s="8" t="inlineStr">
        <is>
          <t>不含北入口、不含1.6亿经营权拍卖</t>
        </is>
      </c>
    </row>
    <row r="6" ht="28" customHeight="1">
      <c r="A6" s="8" t="inlineStr">
        <is>
          <t>2</t>
        </is>
      </c>
      <c r="B6" s="8" t="inlineStr">
        <is>
          <t>人流基准</t>
        </is>
      </c>
      <c r="C6" s="8" t="inlineStr">
        <is>
          <t>第3年75万/85%/150元，第4–18年80万保底</t>
        </is>
      </c>
      <c r="D6" s="8" t="inlineStr">
        <is>
          <t>06人流模型B6:S8</t>
        </is>
      </c>
      <c r="E6" s="8" t="inlineStr">
        <is>
          <t>改变收入</t>
        </is>
      </c>
      <c r="F6" s="8" t="inlineStr">
        <is>
          <t>建设期人流为0，不套用原表1–2年</t>
        </is>
      </c>
    </row>
    <row r="7" ht="28" customHeight="1">
      <c r="A7" s="8" t="inlineStr">
        <is>
          <t>3</t>
        </is>
      </c>
      <c r="B7" s="8" t="inlineStr">
        <is>
          <t>收入确认</t>
        </is>
      </c>
      <c r="C7" s="8" t="inlineStr">
        <is>
          <t>公园账面=分成/租金/自营全额/加盟流水</t>
        </is>
      </c>
      <c r="D7" s="8" t="inlineStr">
        <is>
          <t>业态参数</t>
        </is>
      </c>
      <c r="E7" s="8" t="inlineStr">
        <is>
          <t>改变利润</t>
        </is>
      </c>
      <c r="F7" s="8" t="inlineStr">
        <is>
          <t>不再把联营GMV当作公园收入后再扣一次分成</t>
        </is>
      </c>
    </row>
    <row r="8" ht="28" customHeight="1">
      <c r="A8" s="8" t="inlineStr">
        <is>
          <t>4</t>
        </is>
      </c>
      <c r="B8" s="8" t="inlineStr">
        <is>
          <t>联营成本</t>
        </is>
      </c>
      <c r="C8" s="8" t="inlineStr">
        <is>
          <t>收入×（2%+1%+3%）量级</t>
        </is>
      </c>
      <c r="D8" s="8" t="inlineStr">
        <is>
          <t>业态参数Q-S列</t>
        </is>
      </c>
      <c r="E8" s="8" t="inlineStr">
        <is>
          <t>提高利润</t>
        </is>
      </c>
      <c r="F8" s="8" t="inlineStr">
        <is>
          <t>对方承担演职、厨务、店员</t>
        </is>
      </c>
    </row>
    <row r="9" ht="28" customHeight="1">
      <c r="A9" s="8" t="inlineStr">
        <is>
          <t>5</t>
        </is>
      </c>
      <c r="B9" s="8" t="inlineStr">
        <is>
          <t>自营成本</t>
        </is>
      </c>
      <c r="C9" s="8" t="inlineStr">
        <is>
          <t>货品+渠道+编制工资</t>
        </is>
      </c>
      <c r="D9" s="8" t="inlineStr">
        <is>
          <t>业态参数+人力编制</t>
        </is>
      </c>
      <c r="E9" s="8" t="inlineStr">
        <is>
          <t>影响贡献</t>
        </is>
      </c>
      <c r="F9" s="8" t="inlineStr">
        <is>
          <t>礼品/交通/酒庄/婚礼/研学/夜游等</t>
        </is>
      </c>
    </row>
    <row r="10" ht="28" customHeight="1">
      <c r="A10" s="8" t="inlineStr">
        <is>
          <t>6</t>
        </is>
      </c>
      <c r="B10" s="8" t="inlineStr">
        <is>
          <t>人力</t>
        </is>
      </c>
      <c r="C10" s="8" t="inlineStr">
        <is>
          <t>通化全包年薪，公共+自营+26人加盟</t>
        </is>
      </c>
      <c r="D10" s="8" t="inlineStr">
        <is>
          <t>人力编制C-D列</t>
        </is>
      </c>
      <c r="E10" s="8" t="inlineStr">
        <is>
          <t>影响贡献</t>
        </is>
      </c>
      <c r="F10" s="8" t="inlineStr">
        <is>
          <t>原10个月口径与联营固定人工已取消</t>
        </is>
      </c>
    </row>
    <row r="11" ht="28" customHeight="1">
      <c r="A11" s="8" t="inlineStr">
        <is>
          <t>7</t>
        </is>
      </c>
      <c r="B11" s="8" t="inlineStr">
        <is>
          <t>宝贝王</t>
        </is>
      </c>
      <c r="C11" s="8" t="inlineStr">
        <is>
          <t>研学35元+一般48元，万达只分门票10%</t>
        </is>
      </c>
      <c r="D11" s="8" t="inlineStr">
        <is>
          <t>业态参数专项+宝贝王明细</t>
        </is>
      </c>
      <c r="E11" s="8" t="inlineStr">
        <is>
          <t>第一引擎</t>
        </is>
      </c>
      <c r="F11" s="8" t="inlineStr">
        <is>
          <t>接待封顶40万人</t>
        </is>
      </c>
    </row>
    <row r="12" ht="28" customHeight="1">
      <c r="A12" s="8" t="inlineStr">
        <is>
          <t>8</t>
        </is>
      </c>
      <c r="B12" s="8" t="inlineStr">
        <is>
          <t>填充项目</t>
        </is>
      </c>
      <c r="C12" s="8" t="inlineStr">
        <is>
          <t>只激活表5已投资或表6已列空值</t>
        </is>
      </c>
      <c r="D12" s="8" t="inlineStr">
        <is>
          <t>业态参数「是否填充」</t>
        </is>
      </c>
      <c r="E12" s="8" t="inlineStr">
        <is>
          <t>补收入</t>
        </is>
      </c>
      <c r="F12" s="8" t="inlineStr">
        <is>
          <t>不新增改造运营项目</t>
        </is>
      </c>
    </row>
    <row r="13" ht="28" customHeight="1">
      <c r="A13" s="8" t="inlineStr">
        <is>
          <t>9</t>
        </is>
      </c>
      <c r="B13" s="8" t="inlineStr">
        <is>
          <t>折旧</t>
        </is>
      </c>
      <c r="C13" s="8" t="inlineStr">
        <is>
          <t>总投资×95%/16年，经营期计提</t>
        </is>
      </c>
      <c r="D13" s="8" t="inlineStr">
        <is>
          <t>业态参数残值率</t>
        </is>
      </c>
      <c r="E13" s="8" t="inlineStr">
        <is>
          <t>影响利润</t>
        </is>
      </c>
      <c r="F13" s="8" t="inlineStr">
        <is>
          <t>建设期不提折旧</t>
        </is>
      </c>
    </row>
    <row r="14" ht="28" customHeight="1">
      <c r="A14" s="8" t="inlineStr">
        <is>
          <t>10</t>
        </is>
      </c>
      <c r="B14" s="8" t="inlineStr">
        <is>
          <t>利息</t>
        </is>
      </c>
      <c r="C14" s="8" t="inlineStr">
        <is>
          <t>建设期资本化进总投资；经营期前10年等额本金</t>
        </is>
      </c>
      <c r="D14" s="8" t="inlineStr">
        <is>
          <t>05投资估算H62/H63</t>
        </is>
      </c>
      <c r="E14" s="8" t="inlineStr">
        <is>
          <t>影响利润</t>
        </is>
      </c>
      <c r="F14" s="8" t="inlineStr">
        <is>
          <t>还本不进利润，进现金流</t>
        </is>
      </c>
    </row>
    <row r="15" ht="28" customHeight="1">
      <c r="A15" s="8" t="inlineStr">
        <is>
          <t>11</t>
        </is>
      </c>
      <c r="B15" s="8" t="inlineStr">
        <is>
          <t>所得税</t>
        </is>
      </c>
      <c r="C15" s="8" t="inlineStr">
        <is>
          <t>利润总额×25%，亏损不确认递延</t>
        </is>
      </c>
      <c r="D15" s="8" t="inlineStr">
        <is>
          <t>业态参数所得税率</t>
        </is>
      </c>
      <c r="E15" s="8" t="inlineStr">
        <is>
          <t>影响净利</t>
        </is>
      </c>
      <c r="F15" s="8" t="inlineStr">
        <is>
          <t>目标考核用利润总额</t>
        </is>
      </c>
    </row>
    <row r="16" ht="28" customHeight="1">
      <c r="A16" s="8" t="inlineStr">
        <is>
          <t>12</t>
        </is>
      </c>
      <c r="B16" s="8" t="inlineStr">
        <is>
          <t>回收期</t>
        </is>
      </c>
      <c r="C16" s="8" t="inlineStr">
        <is>
          <t>经营期静态：累计（净利+折旧）≥总投资</t>
        </is>
      </c>
      <c r="D16" s="8" t="inlineStr">
        <is>
          <t>18年财务C34</t>
        </is>
      </c>
      <c r="E16" s="8" t="inlineStr">
        <is>
          <t>决策指标</t>
        </is>
      </c>
      <c r="F16" s="8" t="inlineStr">
        <is>
          <t>含建设期的累计转正约在第4年</t>
        </is>
      </c>
    </row>
    <row r="17" ht="28" customHeight="1">
      <c r="A17" s="8" t="inlineStr">
        <is>
          <t>13</t>
        </is>
      </c>
      <c r="B17" s="8" t="inlineStr">
        <is>
          <t>动物成本</t>
        </is>
      </c>
      <c r="C17" s="8" t="inlineStr">
        <is>
          <t>既有55只饲料医疗+4名保育员</t>
        </is>
      </c>
      <c r="D17" s="8" t="inlineStr">
        <is>
          <t>人力+公共参数</t>
        </is>
      </c>
      <c r="E17" s="8" t="inlineStr">
        <is>
          <t>刚性成本</t>
        </is>
      </c>
      <c r="F17" s="8" t="inlineStr">
        <is>
          <t>理解玉皇山动物园后必须保留</t>
        </is>
      </c>
    </row>
    <row r="18" ht="28" customHeight="1">
      <c r="A18" s="8" t="inlineStr">
        <is>
          <t>14</t>
        </is>
      </c>
      <c r="B18" s="8" t="inlineStr">
        <is>
          <t>无硬件增收</t>
        </is>
      </c>
      <c r="C18" s="8" t="inlineStr">
        <is>
          <t>夜游/研学/旅拍/观景已嵌入项目</t>
        </is>
      </c>
      <c r="D18" s="8" t="inlineStr">
        <is>
          <t>收入测算</t>
        </is>
      </c>
      <c r="E18" s="8" t="inlineStr">
        <is>
          <t>不可再加总</t>
        </is>
      </c>
      <c r="F18" s="8" t="inlineStr">
        <is>
          <t>避免与5,000万旧目标重复计算</t>
        </is>
      </c>
    </row>
    <row r="20">
      <c r="A20" s="46" t="inlineStr">
        <is>
          <t>与原《经营收入与成本测算模型》的主要差异：原表把表6第1年2,972万元当作公园收入，却对马戏、餐厅、茶屋等联营项目再套自营成本率+高额固定人工，经营贡献被系统性压低，且未接入表5总投资、没有18年回收与建设期。本重构把成本结构按经营性质重做，收入向表6人流模型靠拢，并补齐已投资未计价设施。黄色参数修改后，经营总览与18年财务会联动更新。</t>
        </is>
      </c>
    </row>
    <row r="21"/>
    <row r="22"/>
  </sheetData>
  <mergeCells count="3">
    <mergeCell ref="A2:F2"/>
    <mergeCell ref="A1:F1"/>
    <mergeCell ref="A20:F2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2026-09-13T04:45:01Z</dcterms:created>
  <dcterms:modified xsi:type="dcterms:W3CDTF">2026-09-13T04:45:01Z</dcterms:modified>
</cp:coreProperties>
</file>